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sales dataset\"/>
    </mc:Choice>
  </mc:AlternateContent>
  <xr:revisionPtr revIDLastSave="0" documentId="13_ncr:1_{3504A5F9-874F-4CE5-A08C-EECDB565E2FA}" xr6:coauthVersionLast="47" xr6:coauthVersionMax="47" xr10:uidLastSave="{00000000-0000-0000-0000-000000000000}"/>
  <bookViews>
    <workbookView xWindow="-108" yWindow="-108" windowWidth="23256" windowHeight="12456" activeTab="1" xr2:uid="{00000000-000D-0000-FFFF-FFFF00000000}"/>
  </bookViews>
  <sheets>
    <sheet name="Raw_Data" sheetId="1" r:id="rId1"/>
    <sheet name="Sales" sheetId="2" r:id="rId2"/>
    <sheet name="Analysis" sheetId="3" r:id="rId3"/>
    <sheet name="Dashboard" sheetId="4" r:id="rId4"/>
  </sheets>
  <definedNames>
    <definedName name="_xlnm._FilterDatabase" localSheetId="0" hidden="1">Raw_Data!$A$1:$H$31</definedName>
    <definedName name="_xlcn.WorksheetConnection_simple_excel_sales_raw_dataset.xlsxSales1" hidden="1">Sales[]</definedName>
    <definedName name="_xlcn.WorksheetConnection_simple_excel_sales_raw_dataset.xlsxTable11" hidden="1">Table1[]</definedName>
    <definedName name="Category">Analysis!$A$1</definedName>
    <definedName name="City">Analysis!$A$8</definedName>
    <definedName name="ExternalData_1" localSheetId="1" hidden="1">Sales!$A$1:$L$31</definedName>
    <definedName name="months">Analysis!$A$23</definedName>
    <definedName name="products">Analysis!$A$15</definedName>
    <definedName name="Slicer_Category">#N/A</definedName>
    <definedName name="Slicer_City">#N/A</definedName>
    <definedName name="Slicer_Product">#N/A</definedName>
    <definedName name="stores">Analysis!$A$30</definedName>
    <definedName name="table_category">Analysis!$A$1</definedName>
    <definedName name="Timeline_Date">#N/A</definedName>
  </definedNames>
  <calcPr calcId="191029"/>
  <pivotCaches>
    <pivotCache cacheId="0" r:id="rId5"/>
    <pivotCache cacheId="1" r:id="rId6"/>
    <pivotCache cacheId="2" r:id="rId7"/>
    <pivotCache cacheId="3" r:id="rId8"/>
    <pivotCache cacheId="86" r:id="rId9"/>
    <pivotCache cacheId="89" r:id="rId10"/>
    <pivotCache cacheId="92" r:id="rId11"/>
    <pivotCache cacheId="95" r:id="rId12"/>
    <pivotCache cacheId="98" r:id="rId13"/>
    <pivotCache cacheId="101"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Sales_ecca5afd-b985-470e-a502-06d21c2c12b7" name="Sales" connection="Query - Sales"/>
          <x15:modelTable id="Table1" name="Table1" connection="WorksheetConnection_simple_excel_sales_raw_dataset.xlsx!Table1"/>
          <x15:modelTable id="Sales 1" name="Sales 1" connection="WorksheetConnection_simple_excel_sales_raw_dataset.xlsx!Sales"/>
        </x15:modelTables>
        <x15:extLst>
          <ext xmlns:x16="http://schemas.microsoft.com/office/spreadsheetml/2014/11/main" uri="{9835A34E-60A6-4A7C-AAB8-D5F71C897F49}">
            <x16:modelTimeGroupings>
              <x16:modelTimeGrouping tableName="Sal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FE788B-F759-4C61-A4B2-81596E2EE815}" keepAlive="1" name="ModelConnection_ExternalData_1" description="Data Model" type="5" refreshedVersion="7" minRefreshableVersion="5" saveData="1">
    <dbPr connection="Data Model Connection" command="Sales" commandType="3"/>
    <extLst>
      <ext xmlns:x15="http://schemas.microsoft.com/office/spreadsheetml/2010/11/main" uri="{DE250136-89BD-433C-8126-D09CA5730AF9}">
        <x15:connection id="" model="1"/>
      </ext>
    </extLst>
  </connection>
  <connection id="2" xr16:uid="{4C96E31A-629D-4352-A51D-63B075843400}" name="Query - Sales" description="Connection to the 'Sales' query in the workbook." type="100" refreshedVersion="7" minRefreshableVersion="5">
    <extLst>
      <ext xmlns:x15="http://schemas.microsoft.com/office/spreadsheetml/2010/11/main" uri="{DE250136-89BD-433C-8126-D09CA5730AF9}">
        <x15:connection id="44192785-6f10-4e65-b881-c330ad56ce4e"/>
      </ext>
    </extLst>
  </connection>
  <connection id="3" xr16:uid="{9C662DA0-A602-4A52-AE87-33366CD5ABB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D270034-3389-4E2C-A845-7AACF199118F}" name="WorksheetConnection_simple_excel_sales_raw_dataset.xlsx!Sales" type="102" refreshedVersion="7" minRefreshableVersion="5">
    <extLst>
      <ext xmlns:x15="http://schemas.microsoft.com/office/spreadsheetml/2010/11/main" uri="{DE250136-89BD-433C-8126-D09CA5730AF9}">
        <x15:connection id="Sales 1">
          <x15:rangePr sourceName="_xlcn.WorksheetConnection_simple_excel_sales_raw_dataset.xlsxSales1"/>
        </x15:connection>
      </ext>
    </extLst>
  </connection>
  <connection id="5" xr16:uid="{D2F1E1F4-C517-4F50-943F-946C05118893}" name="WorksheetConnection_simple_excel_sales_raw_dataset.xlsx!Table1" type="102" refreshedVersion="7" minRefreshableVersion="5">
    <extLst>
      <ext xmlns:x15="http://schemas.microsoft.com/office/spreadsheetml/2010/11/main" uri="{DE250136-89BD-433C-8126-D09CA5730AF9}">
        <x15:connection id="Table1">
          <x15:rangePr sourceName="_xlcn.WorksheetConnection_simple_excel_sales_raw_dataset.xlsxTable11"/>
        </x15:connection>
      </ext>
    </extLst>
  </connection>
</connections>
</file>

<file path=xl/sharedStrings.xml><?xml version="1.0" encoding="utf-8"?>
<sst xmlns="http://schemas.openxmlformats.org/spreadsheetml/2006/main" count="356" uniqueCount="46">
  <si>
    <t>Order_ID</t>
  </si>
  <si>
    <t>Date</t>
  </si>
  <si>
    <t>City</t>
  </si>
  <si>
    <t>Category</t>
  </si>
  <si>
    <t>Product</t>
  </si>
  <si>
    <t>Quantity</t>
  </si>
  <si>
    <t>Unit_Price_PKR</t>
  </si>
  <si>
    <t>Sales_Channel</t>
  </si>
  <si>
    <t>Karachi</t>
  </si>
  <si>
    <t>Electronics</t>
  </si>
  <si>
    <t>Wireless Mouse</t>
  </si>
  <si>
    <t>Online</t>
  </si>
  <si>
    <t>Lahore</t>
  </si>
  <si>
    <t>Stationery</t>
  </si>
  <si>
    <t>Notebook</t>
  </si>
  <si>
    <t>Store</t>
  </si>
  <si>
    <t>Islamabad</t>
  </si>
  <si>
    <t>Keyboard</t>
  </si>
  <si>
    <t>Home</t>
  </si>
  <si>
    <t>Desk Lamp</t>
  </si>
  <si>
    <t>Headphones</t>
  </si>
  <si>
    <t>Pen Set</t>
  </si>
  <si>
    <t>Water Bottle</t>
  </si>
  <si>
    <t>USB Cable</t>
  </si>
  <si>
    <t>Storage Box</t>
  </si>
  <si>
    <t>Power Bank</t>
  </si>
  <si>
    <t>Total Sale</t>
  </si>
  <si>
    <t>Month Name</t>
  </si>
  <si>
    <t>January</t>
  </si>
  <si>
    <t>February</t>
  </si>
  <si>
    <t>March</t>
  </si>
  <si>
    <t>April</t>
  </si>
  <si>
    <t>Row Labels</t>
  </si>
  <si>
    <t>Grand Total</t>
  </si>
  <si>
    <t>Sum of Unit_Price_PKR</t>
  </si>
  <si>
    <t>Sum of Total Sale</t>
  </si>
  <si>
    <t>Sum of Quantity</t>
  </si>
  <si>
    <t>Sum of Total Sale (total revenue)</t>
  </si>
  <si>
    <t>Count of Product</t>
  </si>
  <si>
    <t>Date (Month Index)</t>
  </si>
  <si>
    <t>Date (Month)</t>
  </si>
  <si>
    <t>Jan</t>
  </si>
  <si>
    <t>Feb</t>
  </si>
  <si>
    <t>Mar</t>
  </si>
  <si>
    <t>Apr</t>
  </si>
  <si>
    <t>Count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</si>
</sst>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0\);\$#,##0.00"/>
  </numFmts>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[simple_excel_sales_raw_dataset.xlsx]Analysis!category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Analysis!$A$2:$A$3</c:f>
              <c:strCache>
                <c:ptCount val="1"/>
                <c:pt idx="0">
                  <c:v>Electronics</c:v>
                </c:pt>
              </c:strCache>
            </c:strRef>
          </c:cat>
          <c:val>
            <c:numRef>
              <c:f>Analysis!$B$2:$B$3</c:f>
              <c:numCache>
                <c:formatCode>\$#,##0.00;\(\$#,##0.00\);\$#,##0.00</c:formatCode>
                <c:ptCount val="1"/>
                <c:pt idx="0">
                  <c:v>650</c:v>
                </c:pt>
              </c:numCache>
            </c:numRef>
          </c:val>
          <c:extLst>
            <c:ext xmlns:c16="http://schemas.microsoft.com/office/drawing/2014/chart" uri="{C3380CC4-5D6E-409C-BE32-E72D297353CC}">
              <c16:uniqueId val="{00000003-B20F-4CF4-83D1-6C06689B5BCA}"/>
            </c:ext>
          </c:extLst>
        </c:ser>
        <c:dLbls>
          <c:dLblPos val="outEnd"/>
          <c:showLegendKey val="0"/>
          <c:showVal val="1"/>
          <c:showCatName val="0"/>
          <c:showSerName val="0"/>
          <c:showPercent val="0"/>
          <c:showBubbleSize val="0"/>
        </c:dLbls>
        <c:gapWidth val="219"/>
        <c:overlap val="-27"/>
        <c:axId val="685274271"/>
        <c:axId val="685275935"/>
      </c:barChart>
      <c:catAx>
        <c:axId val="6852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75935"/>
        <c:crosses val="autoZero"/>
        <c:auto val="1"/>
        <c:lblAlgn val="ctr"/>
        <c:lblOffset val="100"/>
        <c:noMultiLvlLbl val="0"/>
      </c:catAx>
      <c:valAx>
        <c:axId val="6852759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7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[simple_excel_sales_raw_dataset.xlsx]Analysis!City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Analysis!$A$9:$A$10</c:f>
              <c:strCache>
                <c:ptCount val="1"/>
                <c:pt idx="0">
                  <c:v>Karachi</c:v>
                </c:pt>
              </c:strCache>
            </c:strRef>
          </c:cat>
          <c:val>
            <c:numRef>
              <c:f>Analysis!$B$9:$B$10</c:f>
              <c:numCache>
                <c:formatCode>\$#,##0.00;\(\$#,##0.00\);\$#,##0.00</c:formatCode>
                <c:ptCount val="1"/>
                <c:pt idx="0">
                  <c:v>6500</c:v>
                </c:pt>
              </c:numCache>
            </c:numRef>
          </c:val>
          <c:extLst>
            <c:ext xmlns:c16="http://schemas.microsoft.com/office/drawing/2014/chart" uri="{C3380CC4-5D6E-409C-BE32-E72D297353CC}">
              <c16:uniqueId val="{00000007-EC9E-46FE-9AE4-A4D3507EEE56}"/>
            </c:ext>
          </c:extLst>
        </c:ser>
        <c:dLbls>
          <c:dLblPos val="outEnd"/>
          <c:showLegendKey val="0"/>
          <c:showVal val="1"/>
          <c:showCatName val="0"/>
          <c:showSerName val="0"/>
          <c:showPercent val="0"/>
          <c:showBubbleSize val="0"/>
        </c:dLbls>
        <c:gapWidth val="219"/>
        <c:overlap val="-27"/>
        <c:axId val="1191259007"/>
        <c:axId val="1191273983"/>
      </c:barChart>
      <c:catAx>
        <c:axId val="11912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73983"/>
        <c:crosses val="autoZero"/>
        <c:auto val="1"/>
        <c:lblAlgn val="ctr"/>
        <c:lblOffset val="100"/>
        <c:noMultiLvlLbl val="0"/>
      </c:catAx>
      <c:valAx>
        <c:axId val="11912739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5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[simple_excel_sales_raw_dataset.xlsx]Analysis!Products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a:t>
            </a:r>
            <a:r>
              <a:rPr lang="en-US" b="1"/>
              <a:t>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Analysis!$A$16:$A$17</c:f>
              <c:strCache>
                <c:ptCount val="1"/>
                <c:pt idx="0">
                  <c:v>USB Cable</c:v>
                </c:pt>
              </c:strCache>
            </c:strRef>
          </c:cat>
          <c:val>
            <c:numRef>
              <c:f>Analysis!$B$16:$B$17</c:f>
              <c:numCache>
                <c:formatCode>\$#,##0.00;\(\$#,##0.00\);\$#,##0.00</c:formatCode>
                <c:ptCount val="1"/>
                <c:pt idx="0">
                  <c:v>6500</c:v>
                </c:pt>
              </c:numCache>
            </c:numRef>
          </c:val>
          <c:extLst>
            <c:ext xmlns:c16="http://schemas.microsoft.com/office/drawing/2014/chart" uri="{C3380CC4-5D6E-409C-BE32-E72D297353CC}">
              <c16:uniqueId val="{00000003-F2F1-4D46-BB77-12FEAF0B5B19}"/>
            </c:ext>
          </c:extLst>
        </c:ser>
        <c:dLbls>
          <c:showLegendKey val="0"/>
          <c:showVal val="0"/>
          <c:showCatName val="0"/>
          <c:showSerName val="0"/>
          <c:showPercent val="0"/>
          <c:showBubbleSize val="0"/>
        </c:dLbls>
        <c:gapWidth val="219"/>
        <c:overlap val="-27"/>
        <c:axId val="1191253599"/>
        <c:axId val="1191245279"/>
      </c:barChart>
      <c:catAx>
        <c:axId val="119125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45279"/>
        <c:crosses val="autoZero"/>
        <c:auto val="1"/>
        <c:lblAlgn val="ctr"/>
        <c:lblOffset val="100"/>
        <c:noMultiLvlLbl val="0"/>
      </c:catAx>
      <c:valAx>
        <c:axId val="11912452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5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[simple_excel_sales_raw_dataset.xlsx]Analysis!Months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C9-43BF-AF75-3962B435D6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9-43BF-AF75-3962B435D6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C9-43BF-AF75-3962B435D6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C9-43BF-AF75-3962B435D6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Analysis!$A$24:$A$25</c:f>
              <c:strCache>
                <c:ptCount val="1"/>
                <c:pt idx="0">
                  <c:v>March</c:v>
                </c:pt>
              </c:strCache>
            </c:strRef>
          </c:cat>
          <c:val>
            <c:numRef>
              <c:f>Analysis!$B$24:$B$25</c:f>
              <c:numCache>
                <c:formatCode>\$#,##0.00;\(\$#,##0.00\);\$#,##0.00</c:formatCode>
                <c:ptCount val="1"/>
                <c:pt idx="0">
                  <c:v>6500</c:v>
                </c:pt>
              </c:numCache>
            </c:numRef>
          </c:val>
          <c:extLst>
            <c:ext xmlns:c16="http://schemas.microsoft.com/office/drawing/2014/chart" uri="{C3380CC4-5D6E-409C-BE32-E72D297353CC}">
              <c16:uniqueId val="{0000000B-2D92-4F15-BBFB-8DCC4CB32A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[simple_excel_sales_raw_dataset.xlsx]Analysis!stores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Online vs Store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4-40B8-AE0D-1478880F62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4-40B8-AE0D-1478880F62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Analysis!$A$31:$A$32</c:f>
              <c:strCache>
                <c:ptCount val="1"/>
                <c:pt idx="0">
                  <c:v>Online</c:v>
                </c:pt>
              </c:strCache>
            </c:strRef>
          </c:cat>
          <c:val>
            <c:numRef>
              <c:f>Analysis!$B$31:$B$32</c:f>
              <c:numCache>
                <c:formatCode>\$#,##0.00;\(\$#,##0.00\);\$#,##0.00</c:formatCode>
                <c:ptCount val="1"/>
                <c:pt idx="0">
                  <c:v>6500</c:v>
                </c:pt>
              </c:numCache>
            </c:numRef>
          </c:val>
          <c:extLst>
            <c:ext xmlns:c16="http://schemas.microsoft.com/office/drawing/2014/chart" uri="{C3380CC4-5D6E-409C-BE32-E72D297353CC}">
              <c16:uniqueId val="{00000004-7AE4-40B8-AE0D-1478880F62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[simple_excel_sales_raw_dataset.xlsx]Analysis!quantity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's Quantity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Analysis!$E$23:$E$24</c:f>
              <c:strCache>
                <c:ptCount val="1"/>
                <c:pt idx="0">
                  <c:v>USB Cable</c:v>
                </c:pt>
              </c:strCache>
            </c:strRef>
          </c:cat>
          <c:val>
            <c:numRef>
              <c:f>Analysis!$F$23:$F$24</c:f>
              <c:numCache>
                <c:formatCode>General</c:formatCode>
                <c:ptCount val="1"/>
                <c:pt idx="0">
                  <c:v>10</c:v>
                </c:pt>
              </c:numCache>
            </c:numRef>
          </c:val>
          <c:extLst>
            <c:ext xmlns:c16="http://schemas.microsoft.com/office/drawing/2014/chart" uri="{C3380CC4-5D6E-409C-BE32-E72D297353CC}">
              <c16:uniqueId val="{00000000-C41F-4D9E-8493-CD1A65DB10D3}"/>
            </c:ext>
          </c:extLst>
        </c:ser>
        <c:dLbls>
          <c:dLblPos val="outEnd"/>
          <c:showLegendKey val="0"/>
          <c:showVal val="1"/>
          <c:showCatName val="0"/>
          <c:showSerName val="0"/>
          <c:showPercent val="0"/>
          <c:showBubbleSize val="0"/>
        </c:dLbls>
        <c:gapWidth val="219"/>
        <c:overlap val="-27"/>
        <c:axId val="1191282719"/>
        <c:axId val="1191283135"/>
      </c:barChart>
      <c:catAx>
        <c:axId val="119128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83135"/>
        <c:crosses val="autoZero"/>
        <c:auto val="1"/>
        <c:lblAlgn val="ctr"/>
        <c:lblOffset val="100"/>
        <c:noMultiLvlLbl val="0"/>
      </c:catAx>
      <c:valAx>
        <c:axId val="119128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8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495300</xdr:colOff>
      <xdr:row>8</xdr:row>
      <xdr:rowOff>144780</xdr:rowOff>
    </xdr:from>
    <xdr:to>
      <xdr:col>6</xdr:col>
      <xdr:colOff>350520</xdr:colOff>
      <xdr:row>20</xdr:row>
      <xdr:rowOff>38100</xdr:rowOff>
    </xdr:to>
    <xdr:graphicFrame macro="">
      <xdr:nvGraphicFramePr>
        <xdr:cNvPr id="3" name="Chart 2">
          <a:extLst>
            <a:ext uri="{FF2B5EF4-FFF2-40B4-BE49-F238E27FC236}">
              <a16:creationId xmlns:a16="http://schemas.microsoft.com/office/drawing/2014/main" id="{0FDE983F-DBFF-4238-8388-587C1F922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8</xdr:row>
      <xdr:rowOff>160020</xdr:rowOff>
    </xdr:from>
    <xdr:to>
      <xdr:col>12</xdr:col>
      <xdr:colOff>449580</xdr:colOff>
      <xdr:row>20</xdr:row>
      <xdr:rowOff>60960</xdr:rowOff>
    </xdr:to>
    <xdr:graphicFrame macro="">
      <xdr:nvGraphicFramePr>
        <xdr:cNvPr id="4" name="Chart 3">
          <a:extLst>
            <a:ext uri="{FF2B5EF4-FFF2-40B4-BE49-F238E27FC236}">
              <a16:creationId xmlns:a16="http://schemas.microsoft.com/office/drawing/2014/main" id="{AFC558C2-BC12-436F-83DD-14B5EF820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487680</xdr:colOff>
      <xdr:row>21</xdr:row>
      <xdr:rowOff>0</xdr:rowOff>
    </xdr:from>
    <xdr:to>
      <xdr:col>6</xdr:col>
      <xdr:colOff>358140</xdr:colOff>
      <xdr:row>33</xdr:row>
      <xdr:rowOff>15240</xdr:rowOff>
    </xdr:to>
    <xdr:graphicFrame macro="">
      <xdr:nvGraphicFramePr>
        <xdr:cNvPr id="5" name="Chart 4">
          <a:extLst>
            <a:ext uri="{FF2B5EF4-FFF2-40B4-BE49-F238E27FC236}">
              <a16:creationId xmlns:a16="http://schemas.microsoft.com/office/drawing/2014/main" id="{99A5B6FD-BED9-46D3-B206-C7E719B5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21</xdr:row>
      <xdr:rowOff>38100</xdr:rowOff>
    </xdr:from>
    <xdr:to>
      <xdr:col>12</xdr:col>
      <xdr:colOff>449580</xdr:colOff>
      <xdr:row>33</xdr:row>
      <xdr:rowOff>30480</xdr:rowOff>
    </xdr:to>
    <xdr:graphicFrame macro="">
      <xdr:nvGraphicFramePr>
        <xdr:cNvPr id="6" name="Chart 5">
          <a:extLst>
            <a:ext uri="{FF2B5EF4-FFF2-40B4-BE49-F238E27FC236}">
              <a16:creationId xmlns:a16="http://schemas.microsoft.com/office/drawing/2014/main" id="{16627C7A-396D-4E31-BD78-F1C2C6472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541020</xdr:colOff>
      <xdr:row>8</xdr:row>
      <xdr:rowOff>160020</xdr:rowOff>
    </xdr:from>
    <xdr:to>
      <xdr:col>18</xdr:col>
      <xdr:colOff>144780</xdr:colOff>
      <xdr:row>20</xdr:row>
      <xdr:rowOff>53340</xdr:rowOff>
    </xdr:to>
    <xdr:graphicFrame macro="">
      <xdr:nvGraphicFramePr>
        <xdr:cNvPr id="7" name="Chart 6">
          <a:extLst>
            <a:ext uri="{FF2B5EF4-FFF2-40B4-BE49-F238E27FC236}">
              <a16:creationId xmlns:a16="http://schemas.microsoft.com/office/drawing/2014/main" id="{FDFF1F22-3639-4697-AEF2-EA400862A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548640</xdr:colOff>
      <xdr:row>21</xdr:row>
      <xdr:rowOff>30480</xdr:rowOff>
    </xdr:from>
    <xdr:to>
      <xdr:col>18</xdr:col>
      <xdr:colOff>152400</xdr:colOff>
      <xdr:row>33</xdr:row>
      <xdr:rowOff>38100</xdr:rowOff>
    </xdr:to>
    <xdr:graphicFrame macro="">
      <xdr:nvGraphicFramePr>
        <xdr:cNvPr id="8" name="Chart 7">
          <a:extLst>
            <a:ext uri="{FF2B5EF4-FFF2-40B4-BE49-F238E27FC236}">
              <a16:creationId xmlns:a16="http://schemas.microsoft.com/office/drawing/2014/main" id="{D3D03253-3224-4E61-8F6F-14C83BDD3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236220</xdr:colOff>
      <xdr:row>3</xdr:row>
      <xdr:rowOff>129540</xdr:rowOff>
    </xdr:from>
    <xdr:to>
      <xdr:col>10</xdr:col>
      <xdr:colOff>7620</xdr:colOff>
      <xdr:row>7</xdr:row>
      <xdr:rowOff>91440</xdr:rowOff>
    </xdr:to>
    <xdr:sp macro="" textlink="Analysis!D5">
      <xdr:nvSpPr>
        <xdr:cNvPr id="9" name="Rectangle: Rounded Corners 8">
          <a:extLst>
            <a:ext uri="{FF2B5EF4-FFF2-40B4-BE49-F238E27FC236}">
              <a16:creationId xmlns:a16="http://schemas.microsoft.com/office/drawing/2014/main" id="{381E5430-F755-4F16-ABE6-02FBF6B2B238}"/>
            </a:ext>
          </a:extLst>
        </xdr:cNvPr>
        <xdr:cNvSpPr/>
      </xdr:nvSpPr>
      <xdr:spPr>
        <a:xfrm>
          <a:off x="3893820" y="678180"/>
          <a:ext cx="2209800" cy="69342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4FD45D6-76C1-4DD4-B339-BE95BBE1F638}" type="TxLink">
            <a:rPr lang="en-US" sz="1400" b="1" i="0" u="none" strike="noStrike">
              <a:solidFill>
                <a:srgbClr val="000000"/>
              </a:solidFill>
              <a:latin typeface="Calibri"/>
              <a:ea typeface="Calibri"/>
              <a:cs typeface="Calibri"/>
            </a:rPr>
            <a:pPr algn="ctr"/>
            <a:t>142</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Quantity</a:t>
          </a:r>
          <a:r>
            <a:rPr lang="en-US" sz="1400" b="1" i="0" u="none" strike="noStrike" baseline="0">
              <a:solidFill>
                <a:srgbClr val="000000"/>
              </a:solidFill>
              <a:latin typeface="Calibri"/>
              <a:ea typeface="Calibri"/>
              <a:cs typeface="Calibri"/>
            </a:rPr>
            <a:t> of Products</a:t>
          </a:r>
          <a:endParaRPr lang="en-US" sz="1800" b="1"/>
        </a:p>
      </xdr:txBody>
    </xdr:sp>
    <xdr:clientData/>
  </xdr:twoCellAnchor>
  <xdr:twoCellAnchor>
    <xdr:from>
      <xdr:col>10</xdr:col>
      <xdr:colOff>106680</xdr:colOff>
      <xdr:row>3</xdr:row>
      <xdr:rowOff>129540</xdr:rowOff>
    </xdr:from>
    <xdr:to>
      <xdr:col>13</xdr:col>
      <xdr:colOff>487680</xdr:colOff>
      <xdr:row>7</xdr:row>
      <xdr:rowOff>91440</xdr:rowOff>
    </xdr:to>
    <xdr:sp macro="" textlink="Analysis!G6">
      <xdr:nvSpPr>
        <xdr:cNvPr id="10" name="Rectangle: Rounded Corners 9">
          <a:extLst>
            <a:ext uri="{FF2B5EF4-FFF2-40B4-BE49-F238E27FC236}">
              <a16:creationId xmlns:a16="http://schemas.microsoft.com/office/drawing/2014/main" id="{1C898568-2418-4A54-8937-F545D80F4E93}"/>
            </a:ext>
          </a:extLst>
        </xdr:cNvPr>
        <xdr:cNvSpPr/>
      </xdr:nvSpPr>
      <xdr:spPr>
        <a:xfrm>
          <a:off x="6202680" y="678180"/>
          <a:ext cx="2209800" cy="69342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346B7E-CF70-4326-90BA-FCE7047A6488}" type="TxLink">
            <a:rPr lang="en-US" sz="1400" b="1" i="0" u="none" strike="noStrike">
              <a:solidFill>
                <a:srgbClr val="000000"/>
              </a:solidFill>
              <a:latin typeface="Calibri"/>
              <a:ea typeface="Calibri"/>
              <a:cs typeface="Calibri"/>
            </a:rPr>
            <a:pPr algn="ctr"/>
            <a:t>$146,550.00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Revenue</a:t>
          </a:r>
          <a:endParaRPr lang="en-US" sz="1400" b="1"/>
        </a:p>
      </xdr:txBody>
    </xdr:sp>
    <xdr:clientData/>
  </xdr:twoCellAnchor>
  <xdr:twoCellAnchor>
    <xdr:from>
      <xdr:col>13</xdr:col>
      <xdr:colOff>563880</xdr:colOff>
      <xdr:row>3</xdr:row>
      <xdr:rowOff>137160</xdr:rowOff>
    </xdr:from>
    <xdr:to>
      <xdr:col>17</xdr:col>
      <xdr:colOff>335280</xdr:colOff>
      <xdr:row>7</xdr:row>
      <xdr:rowOff>99060</xdr:rowOff>
    </xdr:to>
    <xdr:sp macro="" textlink="Analysis!D14">
      <xdr:nvSpPr>
        <xdr:cNvPr id="11" name="Rectangle: Rounded Corners 10">
          <a:extLst>
            <a:ext uri="{FF2B5EF4-FFF2-40B4-BE49-F238E27FC236}">
              <a16:creationId xmlns:a16="http://schemas.microsoft.com/office/drawing/2014/main" id="{C0CB5EFF-531F-4613-9634-996AE6B169FE}"/>
            </a:ext>
          </a:extLst>
        </xdr:cNvPr>
        <xdr:cNvSpPr/>
      </xdr:nvSpPr>
      <xdr:spPr>
        <a:xfrm>
          <a:off x="8488680" y="685800"/>
          <a:ext cx="2209800" cy="69342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7BB7B70-99D9-4FA1-9361-8DA307AE2BD1}" type="TxLink">
            <a:rPr lang="en-US" sz="1400" b="1" i="0" u="none" strike="noStrike">
              <a:solidFill>
                <a:srgbClr val="000000"/>
              </a:solidFill>
              <a:latin typeface="Calibri"/>
              <a:ea typeface="Calibri"/>
              <a:cs typeface="Calibri"/>
            </a:rPr>
            <a:pPr algn="ctr"/>
            <a:t>30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a:t>
          </a:r>
          <a:r>
            <a:rPr lang="en-US" sz="1400" b="1" i="0" u="none" strike="noStrike" baseline="0">
              <a:solidFill>
                <a:srgbClr val="000000"/>
              </a:solidFill>
              <a:latin typeface="Calibri"/>
              <a:ea typeface="Calibri"/>
              <a:cs typeface="Calibri"/>
            </a:rPr>
            <a:t> Orders</a:t>
          </a:r>
          <a:endParaRPr lang="en-US" sz="1800" b="1"/>
        </a:p>
      </xdr:txBody>
    </xdr:sp>
    <xdr:clientData/>
  </xdr:twoCellAnchor>
  <xdr:twoCellAnchor>
    <xdr:from>
      <xdr:col>1</xdr:col>
      <xdr:colOff>137160</xdr:colOff>
      <xdr:row>3</xdr:row>
      <xdr:rowOff>114300</xdr:rowOff>
    </xdr:from>
    <xdr:to>
      <xdr:col>5</xdr:col>
      <xdr:colOff>243840</xdr:colOff>
      <xdr:row>7</xdr:row>
      <xdr:rowOff>83820</xdr:rowOff>
    </xdr:to>
    <xdr:sp macro="" textlink="">
      <xdr:nvSpPr>
        <xdr:cNvPr id="13" name="Rectangle: Rounded Corners 12">
          <a:extLst>
            <a:ext uri="{FF2B5EF4-FFF2-40B4-BE49-F238E27FC236}">
              <a16:creationId xmlns:a16="http://schemas.microsoft.com/office/drawing/2014/main" id="{118D182F-50D2-4654-997C-EC2B861F46C1}"/>
            </a:ext>
          </a:extLst>
        </xdr:cNvPr>
        <xdr:cNvSpPr/>
      </xdr:nvSpPr>
      <xdr:spPr>
        <a:xfrm>
          <a:off x="746760" y="662940"/>
          <a:ext cx="2545080" cy="70104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Sales Analysis</a:t>
          </a:r>
        </a:p>
      </xdr:txBody>
    </xdr:sp>
    <xdr:clientData/>
  </xdr:twoCellAnchor>
  <xdr:twoCellAnchor editAs="oneCell">
    <xdr:from>
      <xdr:col>18</xdr:col>
      <xdr:colOff>266700</xdr:colOff>
      <xdr:row>11</xdr:row>
      <xdr:rowOff>15239</xdr:rowOff>
    </xdr:from>
    <xdr:to>
      <xdr:col>22</xdr:col>
      <xdr:colOff>213360</xdr:colOff>
      <xdr:row>17</xdr:row>
      <xdr:rowOff>22860</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9D683273-B7D4-404B-ACF9-25DBE22C10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39500" y="2026919"/>
              <a:ext cx="2385060" cy="1104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259080</xdr:colOff>
      <xdr:row>23</xdr:row>
      <xdr:rowOff>144780</xdr:rowOff>
    </xdr:from>
    <xdr:to>
      <xdr:col>22</xdr:col>
      <xdr:colOff>228600</xdr:colOff>
      <xdr:row>33</xdr:row>
      <xdr:rowOff>45721</xdr:rowOff>
    </xdr:to>
    <mc:AlternateContent xmlns:mc="http://schemas.openxmlformats.org/markup-compatibility/2006">
      <mc:Choice xmlns:a14="http://schemas.microsoft.com/office/drawing/2010/main" Requires="a14">
        <xdr:graphicFrame macro="">
          <xdr:nvGraphicFramePr>
            <xdr:cNvPr id="25" name="Product">
              <a:extLst>
                <a:ext uri="{FF2B5EF4-FFF2-40B4-BE49-F238E27FC236}">
                  <a16:creationId xmlns:a16="http://schemas.microsoft.com/office/drawing/2014/main" id="{F541BE98-5006-47FA-A3F7-D427412540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231880" y="4351020"/>
              <a:ext cx="2407920" cy="1729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266700</xdr:colOff>
      <xdr:row>17</xdr:row>
      <xdr:rowOff>76201</xdr:rowOff>
    </xdr:from>
    <xdr:to>
      <xdr:col>22</xdr:col>
      <xdr:colOff>220980</xdr:colOff>
      <xdr:row>23</xdr:row>
      <xdr:rowOff>99061</xdr:rowOff>
    </xdr:to>
    <mc:AlternateContent xmlns:mc="http://schemas.openxmlformats.org/markup-compatibility/2006">
      <mc:Choice xmlns:a14="http://schemas.microsoft.com/office/drawing/2010/main" Requires="a14">
        <xdr:graphicFrame macro="">
          <xdr:nvGraphicFramePr>
            <xdr:cNvPr id="26" name="City">
              <a:extLst>
                <a:ext uri="{FF2B5EF4-FFF2-40B4-BE49-F238E27FC236}">
                  <a16:creationId xmlns:a16="http://schemas.microsoft.com/office/drawing/2014/main" id="{590E1A24-7B80-4800-A75E-C08EBB92F85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239500" y="3185161"/>
              <a:ext cx="239268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259080</xdr:colOff>
      <xdr:row>3</xdr:row>
      <xdr:rowOff>7620</xdr:rowOff>
    </xdr:from>
    <xdr:to>
      <xdr:col>22</xdr:col>
      <xdr:colOff>198120</xdr:colOff>
      <xdr:row>10</xdr:row>
      <xdr:rowOff>144780</xdr:rowOff>
    </xdr:to>
    <mc:AlternateContent xmlns:mc="http://schemas.openxmlformats.org/markup-compatibility/2006">
      <mc:Choice xmlns:tsle="http://schemas.microsoft.com/office/drawing/2012/timeslicer" Requires="tsle">
        <xdr:graphicFrame macro="">
          <xdr:nvGraphicFramePr>
            <xdr:cNvPr id="28" name="Date">
              <a:extLst>
                <a:ext uri="{FF2B5EF4-FFF2-40B4-BE49-F238E27FC236}">
                  <a16:creationId xmlns:a16="http://schemas.microsoft.com/office/drawing/2014/main" id="{D3562FE6-94FE-45A6-9F8E-07C04BCCD77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231880" y="556260"/>
              <a:ext cx="2377440" cy="14173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93526041668" backgroundQuery="1" createdVersion="7" refreshedVersion="7" minRefreshableVersion="3" recordCount="0" supportSubquery="1" supportAdvancedDrill="1" xr:uid="{0EF5195F-0458-47DF-B191-8FA520F5AD9D}">
  <cacheSource type="external" connectionId="3"/>
  <cacheFields count="2">
    <cacheField name="[Sales].[Product].[Product]" caption="Product" numFmtId="0" hierarchy="4" level="1">
      <sharedItems count="5">
        <s v="Desk Lamp"/>
        <s v="Headphones"/>
        <s v="Power Bank"/>
        <s v="USB Cable"/>
        <s v="Wireless Mouse"/>
      </sharedItems>
    </cacheField>
    <cacheField name="[Measures].[Sum of Total Sale]" caption="Sum of Total Sale" numFmtId="0" hierarchy="37" level="32767"/>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93526851853" backgroundQuery="1" createdVersion="7" refreshedVersion="7" minRefreshableVersion="3" recordCount="0" supportSubquery="1" supportAdvancedDrill="1" xr:uid="{23AB9B67-1DB3-4400-BF4C-136FC1052DB9}">
  <cacheSource type="external" connectionId="3"/>
  <cacheFields count="3">
    <cacheField name="[Sales].[Product].[Product]" caption="Product" numFmtId="0" hierarchy="4" level="1">
      <sharedItems count="3">
        <s v="Desk Lamp"/>
        <s v="Storage Box"/>
        <s v="Water Bottle"/>
      </sharedItems>
    </cacheField>
    <cacheField name="[Sales].[Month Name].[Month Name]" caption="Month Name" numFmtId="0" hierarchy="9" level="1">
      <sharedItems count="4">
        <s v="April"/>
        <s v="February"/>
        <s v="January"/>
        <s v="March"/>
      </sharedItems>
    </cacheField>
    <cacheField name="[Measures].[Sum of Quantity 3]" caption="Sum of Quantity 3" numFmtId="0" hierarchy="46" level="32767"/>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1"/>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93527546299" backgroundQuery="1" createdVersion="7" refreshedVersion="7" minRefreshableVersion="3" recordCount="0" supportSubquery="1" supportAdvancedDrill="1" xr:uid="{FF2A73FE-EA88-47DE-9D7B-713DD925816B}">
  <cacheSource type="external" connectionId="3"/>
  <cacheFields count="3">
    <cacheField name="[Sales].[Product].[Product]" caption="Product" numFmtId="0" hierarchy="4" level="1">
      <sharedItems count="3">
        <s v="Desk Lamp"/>
        <s v="Storage Box"/>
        <s v="Water Bottle"/>
      </sharedItems>
    </cacheField>
    <cacheField name="[Sales].[Month Name].[Month Name]" caption="Month Name" numFmtId="0" hierarchy="9" level="1">
      <sharedItems count="4">
        <s v="April"/>
        <s v="February"/>
        <s v="January"/>
        <s v="March"/>
      </sharedItems>
    </cacheField>
    <cacheField name="[Measures].[Count of Product]" caption="Count of Product" numFmtId="0" hierarchy="43" level="32767"/>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1"/>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2"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93528240739" backgroundQuery="1" createdVersion="7" refreshedVersion="7" minRefreshableVersion="3" recordCount="0" supportSubquery="1" supportAdvancedDrill="1" xr:uid="{DB5A257D-E8C1-429D-ACD8-5552BFC7917E}">
  <cacheSource type="external" connectionId="3"/>
  <cacheFields count="1">
    <cacheField name="[Measures].[Sum of Total Sale]" caption="Sum of Total Sale" numFmtId="0" hierarchy="37" level="32767"/>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18201504627" backgroundQuery="1" createdVersion="7" refreshedVersion="7" minRefreshableVersion="3" recordCount="0" supportSubquery="1" supportAdvancedDrill="1" xr:uid="{27AE0AA5-1D99-48B1-A52B-D74B29B296C1}">
  <cacheSource type="external" connectionId="3"/>
  <cacheFields count="3">
    <cacheField name="[Sales].[City].[City]" caption="City" numFmtId="0" hierarchy="2" level="1">
      <sharedItems count="1">
        <s v="Karachi"/>
      </sharedItems>
    </cacheField>
    <cacheField name="[Measures].[Sum of Total Sale]" caption="Sum of Total Sale" numFmtId="0" hierarchy="37" level="32767"/>
    <cacheField name="[Sales].[Product].[Product]" caption="Product" numFmtId="0" hierarchy="4" level="1">
      <sharedItems containsSemiMixedTypes="0" containsNonDate="0" containsString="0"/>
    </cacheField>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18202199074" backgroundQuery="1" createdVersion="7" refreshedVersion="7" minRefreshableVersion="3" recordCount="0" supportSubquery="1" supportAdvancedDrill="1" xr:uid="{E04BDB0B-B2DD-4912-9F04-609DD091EAC8}">
  <cacheSource type="external" connectionId="3"/>
  <cacheFields count="4">
    <cacheField name="[Sales].[Category].[Category]" caption="Category" numFmtId="0" hierarchy="3" level="1">
      <sharedItems count="1">
        <s v="Electronics"/>
      </sharedItems>
    </cacheField>
    <cacheField name="[Measures].[Sum of Unit_Price_PKR]" caption="Sum of Unit_Price_PKR" numFmtId="0" hierarchy="36" level="32767"/>
    <cacheField name="[Sales].[Product].[Product]" caption="Product" numFmtId="0" hierarchy="4" level="1">
      <sharedItems containsSemiMixedTypes="0" containsNonDate="0" containsString="0"/>
    </cacheField>
    <cacheField name="[Sales].[City].[City]" caption="City" numFmtId="0" hierarchy="2" level="1">
      <sharedItems containsSemiMixedTypes="0" containsNonDate="0" containsString="0"/>
    </cacheField>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fieldsUsage count="2">
        <fieldUsage x="-1"/>
        <fieldUsage x="3"/>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18203009259" backgroundQuery="1" createdVersion="7" refreshedVersion="7" minRefreshableVersion="3" recordCount="0" supportSubquery="1" supportAdvancedDrill="1" xr:uid="{ADCDCB26-A885-4247-A07C-E3A09C689C54}">
  <cacheSource type="external" connectionId="3"/>
  <cacheFields count="4">
    <cacheField name="[Sales].[Product].[Product]" caption="Product" numFmtId="0" hierarchy="4" level="1">
      <sharedItems count="5">
        <s v="Desk Lamp"/>
        <s v="Headphones"/>
        <s v="Power Bank"/>
        <s v="USB Cable"/>
        <s v="Wireless Mouse"/>
      </sharedItems>
    </cacheField>
    <cacheField name="[Measures].[Sum of Total Sale]" caption="Sum of Total Sale" numFmtId="0" hierarchy="37" level="32767"/>
    <cacheField name="[Sales].[Month Name].[Month Name]" caption="Month Name" numFmtId="0" hierarchy="9" level="1">
      <sharedItems count="4">
        <s v="March"/>
        <s v="February" u="1"/>
        <s v="January" u="1"/>
        <s v="April" u="1"/>
      </sharedItems>
    </cacheField>
    <cacheField name="[Sales].[City].[City]" caption="City" numFmtId="0" hierarchy="2" level="1">
      <sharedItems containsSemiMixedTypes="0" containsNonDate="0" containsString="0"/>
    </cacheField>
  </cacheFields>
  <cacheHierarchies count="48">
    <cacheHierarchy uniqueName="[Sales].[Order_ID]" caption="Order_ID" attribute="1" defaultMemberUniqueName="[Sales].[Order_ID].[All]" allUniqueName="[Sales].[Order_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fieldsUsage count="2">
        <fieldUsage x="-1"/>
        <fieldUsage x="3"/>
      </fieldsUsage>
    </cacheHierarchy>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2" memberValueDatatype="20" unbalanced="0"/>
    <cacheHierarchy uniqueName="[Sales].[Unit_Price_PKR]" caption="Unit_Price_PKR" attribute="1" defaultMemberUniqueName="[Sales].[Unit_Price_PKR].[All]" allUniqueName="[Sales].[Unit_Price_PKR].[All]" dimensionUniqueName="[Sales]" displayFolder="" count="2" memberValueDatatype="5"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Total Sale]" caption="Total Sale" attribute="1" defaultMemberUniqueName="[Sales].[Total Sale].[All]" allUniqueName="[Sales].[Total Sale].[All]" dimensionUniqueName="[Sales]" displayFolder="" count="2" memberValueDatatype="5"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2" memberValueDatatype="130" unbalanced="0"/>
    <cacheHierarchy uniqueName="[Sales 1].[Order_ID]" caption="Order_ID" attribute="1" defaultMemberUniqueName="[Sales 1].[Order_ID].[All]" allUniqueName="[Sales 1].[Order_ID].[All]" dimensionUniqueName="[Sales 1]" displayFolder="" count="2" memberValueDatatype="20" unbalanced="0"/>
    <cacheHierarchy uniqueName="[Sales 1].[Date]" caption="Date" attribute="1" time="1" defaultMemberUniqueName="[Sales 1].[Date].[All]" allUniqueName="[Sales 1].[Date].[All]" dimensionUniqueName="[Sales 1]" displayFolder="" count="2" memberValueDatatype="7" unbalanced="0"/>
    <cacheHierarchy uniqueName="[Sales 1].[City]" caption="City" attribute="1" defaultMemberUniqueName="[Sales 1].[City].[All]" allUniqueName="[Sales 1].[City].[All]" dimensionUniqueName="[Sales 1]" displayFolder="" count="2" memberValueDatatype="130" unbalanced="0"/>
    <cacheHierarchy uniqueName="[Sales 1].[Category]" caption="Category" attribute="1" defaultMemberUniqueName="[Sales 1].[Category].[All]" allUniqueName="[Sales 1].[Category].[All]" dimensionUniqueName="[Sales 1]" displayFolder="" count="2" memberValueDatatype="130" unbalanced="0"/>
    <cacheHierarchy uniqueName="[Sales 1].[Product]" caption="Product" attribute="1" defaultMemberUniqueName="[Sales 1].[Product].[All]" allUniqueName="[Sales 1].[Product].[All]" dimensionUniqueName="[Sales 1]" displayFolder="" count="2" memberValueDatatype="130" unbalanced="0"/>
    <cacheHierarchy uniqueName="[Sales 1].[Quantity]" caption="Quantity" attribute="1" defaultMemberUniqueName="[Sales 1].[Quantity].[All]" allUniqueName="[Sales 1].[Quantity].[All]" dimensionUniqueName="[Sales 1]" displayFolder="" count="2" memberValueDatatype="20" unbalanced="0"/>
    <cacheHierarchy uniqueName="[Sales 1].[Unit_Price_PKR]" caption="Unit_Price_PKR" attribute="1" defaultMemberUniqueName="[Sales 1].[Unit_Price_PKR].[All]" allUniqueName="[Sales 1].[Unit_Price_PKR].[All]" dimensionUniqueName="[Sales 1]" displayFolder="" count="2" memberValueDatatype="20" unbalanced="0"/>
    <cacheHierarchy uniqueName="[Sales 1].[Sales_Channel]" caption="Sales_Channel" attribute="1" defaultMemberUniqueName="[Sales 1].[Sales_Channel].[All]" allUniqueName="[Sales 1].[Sales_Channel].[All]" dimensionUniqueName="[Sales 1]" displayFolder="" count="2" memberValueDatatype="130" unbalanced="0"/>
    <cacheHierarchy uniqueName="[Sales 1].[Total Sale]" caption="Total Sale" attribute="1" defaultMemberUniqueName="[Sales 1].[Total Sale].[All]" allUniqueName="[Sales 1].[Total Sale].[All]" dimensionUniqueName="[Sales 1]" displayFolder="" count="2" memberValueDatatype="20" unbalanced="0"/>
    <cacheHierarchy uniqueName="[Sales 1].[Month Name]" caption="Month Name" attribute="1" defaultMemberUniqueName="[Sales 1].[Month Name].[All]" allUniqueName="[Sales 1].[Month Name].[All]" dimensionUniqueName="[Sales 1]" displayFolder="" count="2" memberValueDatatype="130" unbalanced="0"/>
    <cacheHierarchy uniqueName="[Sales 1].[Date (Month Index)]" caption="Date (Month Index)" attribute="1" defaultMemberUniqueName="[Sales 1].[Date (Month Index)].[All]" allUniqueName="[Sales 1].[Date (Month Index)].[All]" dimensionUniqueName="[Sales 1]" displayFolder="" count="2" memberValueDatatype="20" unbalanced="0"/>
    <cacheHierarchy uniqueName="[Sales 1].[Date (Month)]" caption="Date (Month)" attribute="1" defaultMemberUniqueName="[Sales 1].[Date (Month)].[All]" allUniqueName="[Sales 1].[Date (Month)].[All]" dimensionUniqueName="[Sales 1]" displayFolder="" count="2" memberValueDatatype="130" unbalanced="0"/>
    <cacheHierarchy uniqueName="[Table1].[Order_ID]" caption="Order_ID" attribute="1" defaultMemberUniqueName="[Table1].[Order_ID].[All]" allUniqueName="[Table1].[Order_ID].[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City]" caption="City" attribute="1" defaultMemberUniqueName="[Table1].[City].[All]" allUniqueName="[Table1].[City].[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_PKR]" caption="Unit_Price_PKR" attribute="1" defaultMemberUniqueName="[Table1].[Unit_Price_PKR].[All]" allUniqueName="[Table1].[Unit_Price_PKR].[All]" dimensionUniqueName="[Table1]" displayFolder="" count="2" memberValueDatatype="2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18203703706" backgroundQuery="1" createdVersion="7" refreshedVersion="7" minRefreshableVersion="3" recordCount="0" supportSubquery="1" supportAdvancedDrill="1" xr:uid="{182E35A5-5183-4613-B5E2-8F6C25CC4777}">
  <cacheSource type="external" connectionId="3"/>
  <cacheFields count="3">
    <cacheField name="[Sales].[Product].[Product]" caption="Product" numFmtId="0" hierarchy="4" level="1">
      <sharedItems count="1">
        <s v="USB Cable"/>
      </sharedItems>
    </cacheField>
    <cacheField name="[Measures].[Sum of Total Sale]" caption="Sum of Total Sale" numFmtId="0" hierarchy="37" level="32767"/>
    <cacheField name="[Sales].[City].[City]" caption="City" numFmtId="0" hierarchy="2" level="1">
      <sharedItems containsSemiMixedTypes="0" containsNonDate="0" containsString="0"/>
    </cacheField>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fieldsUsage count="2">
        <fieldUsage x="-1"/>
        <fieldUsage x="2"/>
      </fieldsUsage>
    </cacheHierarchy>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18204282406" backgroundQuery="1" createdVersion="7" refreshedVersion="7" minRefreshableVersion="3" recordCount="0" supportSubquery="1" supportAdvancedDrill="1" xr:uid="{8B920622-9AB4-4326-A65C-B607C6F25C54}">
  <cacheSource type="external" connectionId="3"/>
  <cacheFields count="4">
    <cacheField name="[Sales].[Product].[Product]" caption="Product" numFmtId="0" hierarchy="4" level="1">
      <sharedItems count="1">
        <s v="USB Cable"/>
      </sharedItems>
    </cacheField>
    <cacheField name="[Sales].[Month Name].[Month Name]" caption="Month Name" numFmtId="0" hierarchy="9" level="1">
      <sharedItems count="4">
        <s v="April"/>
        <s v="February"/>
        <s v="January"/>
        <s v="March"/>
      </sharedItems>
    </cacheField>
    <cacheField name="[Measures].[Sum of Quantity]" caption="Sum of Quantity" numFmtId="0" hierarchy="38" level="32767"/>
    <cacheField name="[Sales].[City].[City]" caption="City" numFmtId="0" hierarchy="2" level="1">
      <sharedItems containsSemiMixedTypes="0" containsNonDate="0" containsString="0"/>
    </cacheField>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fieldsUsage count="2">
        <fieldUsage x="-1"/>
        <fieldUsage x="3"/>
      </fieldsUsage>
    </cacheHierarchy>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1"/>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18204861114" backgroundQuery="1" createdVersion="7" refreshedVersion="7" minRefreshableVersion="3" recordCount="0" supportSubquery="1" supportAdvancedDrill="1" xr:uid="{0A17FA8F-98A7-4E4B-9F96-584CED058CD6}">
  <cacheSource type="external" connectionId="3"/>
  <cacheFields count="5">
    <cacheField name="[Sales].[Product].[Product]" caption="Product" numFmtId="0" hierarchy="4" level="1">
      <sharedItems count="5">
        <s v="Desk Lamp"/>
        <s v="Headphones"/>
        <s v="Power Bank"/>
        <s v="USB Cable"/>
        <s v="Wireless Mouse"/>
      </sharedItems>
    </cacheField>
    <cacheField name="[Measures].[Sum of Total Sale]" caption="Sum of Total Sale" numFmtId="0" hierarchy="37" level="32767"/>
    <cacheField name="[Sales].[Month Name].[Month Name]" caption="Month Name" numFmtId="0" hierarchy="9" level="1">
      <sharedItems count="4">
        <s v="April"/>
        <s v="February"/>
        <s v="January"/>
        <s v="March"/>
      </sharedItems>
    </cacheField>
    <cacheField name="[Sales].[Sales_Channel].[Sales_Channel]" caption="Sales_Channel" numFmtId="0" hierarchy="7" level="1">
      <sharedItems count="2">
        <s v="Online"/>
        <s v="Store" u="1"/>
      </sharedItems>
    </cacheField>
    <cacheField name="[Sales].[City].[City]" caption="City" numFmtId="0" hierarchy="2" level="1">
      <sharedItems containsSemiMixedTypes="0" containsNonDate="0" containsString="0"/>
    </cacheField>
  </cacheFields>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2" memberValueDatatype="130" unbalanced="0">
      <fieldsUsage count="2">
        <fieldUsage x="-1"/>
        <fieldUsage x="4"/>
      </fieldsUsage>
    </cacheHierarchy>
    <cacheHierarchy uniqueName="[Sales].[Category]" caption="Category" attribute="1" defaultMemberUniqueName="[Sales].[Category].[All]" allUniqueName="[Sales].[Categor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3"/>
      </fieldsUsage>
    </cacheHierarchy>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17470486114" backgroundQuery="1" createdVersion="3" refreshedVersion="7" minRefreshableVersion="3" recordCount="0" supportSubquery="1" supportAdvancedDrill="1" xr:uid="{3B1AF29A-73A0-4302-869F-62307924351B}">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City]" caption="City" attribute="1" defaultMemberUniqueName="[Sales].[City].[All]" allUniqueName="[Sales].[Cit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Unit_Price_PKR]" caption="Sum of Unit_Price_PKR" measure="1" displayFolder="" measureGroup="Sales" count="0">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extLst>
        <ext xmlns:x15="http://schemas.microsoft.com/office/spreadsheetml/2010/11/main" uri="{B97F6D7D-B522-45F9-BDA1-12C45D357490}">
          <x15:cacheHierarchy aggregatedColumn="16"/>
        </ext>
      </extLst>
    </cacheHierarchy>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4">
    <dimension measure="1" name="Measures" uniqueName="[Measures]" caption="Measures"/>
    <dimension name="Sales" uniqueName="[Sales]" caption="Sales"/>
    <dimension name="Sales 1" uniqueName="[Sales 1]" caption="Sales 1"/>
    <dimension name="Table1" uniqueName="[Table1]" caption="Table1"/>
  </dimensions>
  <measureGroups count="3">
    <measureGroup name="Sales" caption="Sales"/>
    <measureGroup name="Sales 1" caption="Sales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licerData="1" pivotCacheId="103163607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942311342595" backgroundQuery="1" createdVersion="3" refreshedVersion="7" minRefreshableVersion="3" recordCount="0" supportSubquery="1" supportAdvancedDrill="1" xr:uid="{FEDE30B0-9182-4911-A935-BBEFF7B19B71}">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Sales].[Order_ID]" caption="Order_ID" attribute="1" defaultMemberUniqueName="[Sales].[Order_ID].[All]" allUniqueName="[Sales].[Order_ID].[All]" dimensionUniqueName="[Sales]" displayFolder="" count="0" memberValueDatatype="20" unbalanced="0"/>
    <cacheHierarchy uniqueName="[Sales].[Date]" caption="Date" attribute="1" time="1" defaultMemberUniqueName="[Sales].[Date].[All]" allUniqueName="[Sales].[Date].[All]" dimensionUniqueName="[Sales]" displayFolder="" count="2" memberValueDatatype="7" unbalanced="0"/>
    <cacheHierarchy uniqueName="[Sales].[City]" caption="City" attribute="1" defaultMemberUniqueName="[Sales].[City].[All]" allUniqueName="[Sales].[City].[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_PKR]" caption="Unit_Price_PKR" attribute="1" defaultMemberUniqueName="[Sales].[Unit_Price_PKR].[All]" allUniqueName="[Sales].[Unit_Price_PKR].[All]" dimensionUniqueName="[Sales]" displayFolder="" count="0" memberValueDatatype="5" unbalanced="0"/>
    <cacheHierarchy uniqueName="[Sales].[Sales_Channel]" caption="Sales_Channel" attribute="1" defaultMemberUniqueName="[Sales].[Sales_Channel].[All]" allUniqueName="[Sales].[Sales_Channel].[All]" dimensionUniqueName="[Sales]" displayFolder="" count="0" memberValueDatatype="130" unbalanced="0"/>
    <cacheHierarchy uniqueName="[Sales].[Total Sale]" caption="Total Sale" attribute="1" defaultMemberUniqueName="[Sales].[Total Sale].[All]" allUniqueName="[Sales].[Total Sale].[All]" dimensionUniqueName="[Sales]" displayFolder="" count="0" memberValueDatatype="5" unbalanced="0"/>
    <cacheHierarchy uniqueName="[Sales].[Month Name]" caption="Month Name" attribute="1" defaultMemberUniqueName="[Sales].[Month Name].[All]" allUniqueName="[Sales].[Month Name].[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 1].[Order_ID]" caption="Order_ID" attribute="1" defaultMemberUniqueName="[Sales 1].[Order_ID].[All]" allUniqueName="[Sales 1].[Order_ID].[All]" dimensionUniqueName="[Sales 1]" displayFolder="" count="0" memberValueDatatype="20" unbalanced="0"/>
    <cacheHierarchy uniqueName="[Sales 1].[Date]" caption="Date" attribute="1" time="1" defaultMemberUniqueName="[Sales 1].[Date].[All]" allUniqueName="[Sales 1].[Date].[All]" dimensionUniqueName="[Sales 1]" displayFolder="" count="0" memberValueDatatype="7" unbalanced="0"/>
    <cacheHierarchy uniqueName="[Sales 1].[City]" caption="City" attribute="1" defaultMemberUniqueName="[Sales 1].[City].[All]" allUniqueName="[Sales 1].[City].[All]" dimensionUniqueName="[Sales 1]" displayFolder="" count="0" memberValueDatatype="130" unbalanced="0"/>
    <cacheHierarchy uniqueName="[Sales 1].[Category]" caption="Category" attribute="1" defaultMemberUniqueName="[Sales 1].[Category].[All]" allUniqueName="[Sales 1].[Category].[All]" dimensionUniqueName="[Sales 1]" displayFolder="" count="0" memberValueDatatype="130" unbalanced="0"/>
    <cacheHierarchy uniqueName="[Sales 1].[Product]" caption="Product" attribute="1" defaultMemberUniqueName="[Sales 1].[Product].[All]" allUniqueName="[Sales 1].[Product].[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20" unbalanced="0"/>
    <cacheHierarchy uniqueName="[Sales 1].[Unit_Price_PKR]" caption="Unit_Price_PKR" attribute="1" defaultMemberUniqueName="[Sales 1].[Unit_Price_PKR].[All]" allUniqueName="[Sales 1].[Unit_Price_PKR].[All]" dimensionUniqueName="[Sales 1]" displayFolder="" count="0" memberValueDatatype="20" unbalanced="0"/>
    <cacheHierarchy uniqueName="[Sales 1].[Sales_Channel]" caption="Sales_Channel" attribute="1" defaultMemberUniqueName="[Sales 1].[Sales_Channel].[All]" allUniqueName="[Sales 1].[Sales_Channel].[All]" dimensionUniqueName="[Sales 1]" displayFolder="" count="0" memberValueDatatype="130" unbalanced="0"/>
    <cacheHierarchy uniqueName="[Sales 1].[Total Sale]" caption="Total Sale" attribute="1" defaultMemberUniqueName="[Sales 1].[Total Sale].[All]" allUniqueName="[Sales 1].[Total Sale].[All]" dimensionUniqueName="[Sales 1]" displayFolder="" count="0" memberValueDatatype="20" unbalanced="0"/>
    <cacheHierarchy uniqueName="[Sales 1].[Month Name]" caption="Month Name" attribute="1" defaultMemberUniqueName="[Sales 1].[Month Name].[All]" allUniqueName="[Sales 1].[Month Name].[All]" dimensionUniqueName="[Sales 1]" displayFolder="" count="0" memberValueDatatype="130" unbalanced="0"/>
    <cacheHierarchy uniqueName="[Sales 1].[Date (Month Index)]" caption="Date (Month Index)" attribute="1" defaultMemberUniqueName="[Sales 1].[Date (Month Index)].[All]" allUniqueName="[Sales 1].[Date (Month Index)].[All]" dimensionUniqueName="[Sales 1]" displayFolder="" count="0" memberValueDatatype="20" unbalanced="0"/>
    <cacheHierarchy uniqueName="[Sales 1].[Date (Month)]" caption="Date (Month)" attribute="1" defaultMemberUniqueName="[Sales 1].[Date (Month)].[All]" allUniqueName="[Sales 1].[Date (Month)].[All]" dimensionUniqueName="[Sales 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PKR]" caption="Unit_Price_PKR" attribute="1" defaultMemberUniqueName="[Table1].[Unit_Price_PKR].[All]" allUniqueName="[Table1].[Unit_Price_PKR].[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Sales 1]" caption="__XL_Count Sales 1" measure="1" displayFolder="" measureGroup="Sales 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_PKR]" caption="Sum of Unit_Price_PKR" measure="1" displayFolder="" measureGroup="Sales" count="0" hidden="1">
      <extLst>
        <ext xmlns:x15="http://schemas.microsoft.com/office/spreadsheetml/2010/11/main" uri="{B97F6D7D-B522-45F9-BDA1-12C45D357490}">
          <x15:cacheHierarchy aggregatedColumn="6"/>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5"/>
        </ext>
      </extLst>
    </cacheHierarchy>
    <cacheHierarchy uniqueName="[Measures].[Count of Total Sale]" caption="Count of Total Sale" measure="1" displayFolder="" measureGroup="Sales" count="0" hidden="1">
      <extLst>
        <ext xmlns:x15="http://schemas.microsoft.com/office/spreadsheetml/2010/11/main" uri="{B97F6D7D-B522-45F9-BDA1-12C45D357490}">
          <x15:cacheHierarchy aggregatedColumn="8"/>
        </ext>
      </extLst>
    </cacheHierarchy>
    <cacheHierarchy uniqueName="[Measures].[Sum of Order_ID]" caption="Sum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Sales" count="0" hidden="1">
      <extLst>
        <ext xmlns:x15="http://schemas.microsoft.com/office/spreadsheetml/2010/11/main" uri="{B97F6D7D-B522-45F9-BDA1-12C45D357490}">
          <x15:cacheHierarchy aggregatedColumn="0"/>
        </ext>
      </extLst>
    </cacheHierarchy>
    <cacheHierarchy uniqueName="[Measures].[Count of Product]" caption="Count of Product" measure="1" displayFolder="" measureGroup="Sales"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Sales" count="0" hidden="1">
      <extLst>
        <ext xmlns:x15="http://schemas.microsoft.com/office/spreadsheetml/2010/11/main" uri="{B97F6D7D-B522-45F9-BDA1-12C45D357490}">
          <x15:cacheHierarchy aggregatedColumn="4"/>
        </ext>
      </extLst>
    </cacheHierarchy>
    <cacheHierarchy uniqueName="[Measures].[Sum of Quantity 2]" caption="Sum of Quantity 2" measure="1" displayFolder="" measureGroup="Sales 1" count="0" hidden="1">
      <extLst>
        <ext xmlns:x15="http://schemas.microsoft.com/office/spreadsheetml/2010/11/main" uri="{B97F6D7D-B522-45F9-BDA1-12C45D357490}">
          <x15:cacheHierarchy aggregatedColumn="16"/>
        </ext>
      </extLst>
    </cacheHierarchy>
    <cacheHierarchy uniqueName="[Measures].[Sum of Quantity 3]" caption="Sum of Quantity 3" measure="1" displayFolder="" measureGroup="Tabl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Table1"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6607881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DE116E-C723-4B80-8504-B3D5218B5B7F}" name="category" cacheId="89" applyNumberFormats="0" applyBorderFormats="0" applyFontFormats="0" applyPatternFormats="0" applyAlignmentFormats="0" applyWidthHeightFormats="1" dataCaption="Values" tag="9dbadb1e-65b6-47e6-9167-f6bf3252cd5c" updatedVersion="7" minRefreshableVersion="5" useAutoFormatting="1" subtotalHiddenItems="1" itemPrintTitles="1" createdVersion="7" indent="0" outline="1" outlineData="1" multipleFieldFilters="0" chartFormat="4">
  <location ref="A1:B3"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Unit_Price_PKR"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members count="1" level="1">
        <member name="[Sales].[City].&amp;[Karachi]"/>
      </members>
    </pivotHierarchy>
    <pivotHierarchy multipleItemSelectionAllowed="1" dragToData="1"/>
    <pivotHierarchy multipleItemSelectionAllowed="1" dragToData="1">
      <members count="1" level="1">
        <member name="[Sales].[Product].&amp;[USB Cab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56B678-9935-497C-AFF5-92C75AEE83A9}" name="stores" cacheId="101" applyNumberFormats="0" applyBorderFormats="0" applyFontFormats="0" applyPatternFormats="0" applyAlignmentFormats="0" applyWidthHeightFormats="1" dataCaption="Values" tag="bf055381-e945-4c8a-81bb-5298ac79a746" updatedVersion="7" minRefreshableVersion="5" useAutoFormatting="1" subtotalHiddenItems="1" itemPrintTitles="1" createdVersion="7" indent="0" outline="1" outlineData="1" multipleFieldFilters="0" chartFormat="10">
  <location ref="A30:B32" firstHeaderRow="1" firstDataRow="1" firstDataCol="1"/>
  <pivotFields count="5">
    <pivotField allDrilled="1" subtotalTop="0" showAll="0" sortType="descending" defaultSubtotal="0" defaultAttributeDrillState="1">
      <items count="5">
        <item x="0"/>
        <item x="1"/>
        <item x="2"/>
        <item s="1"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4">
        <item x="2"/>
        <item x="1"/>
        <item x="3"/>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2">
    <i>
      <x/>
    </i>
    <i t="grand">
      <x/>
    </i>
  </rowItems>
  <colItems count="1">
    <i/>
  </colItems>
  <dataFields count="1">
    <dataField name="Sum of Total Sale" fld="1"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s>
  <pivotHierarchies count="48">
    <pivotHierarchy dragToData="1"/>
    <pivotHierarchy dragToData="1"/>
    <pivotHierarchy multipleItemSelectionAllowed="1" dragToData="1">
      <members count="1" level="1">
        <member name="[Sales].[City].&amp;[Karachi]"/>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C4031-11DC-4BCE-B63A-5B1751398C61}" name="PivotTable7" cacheId="3" applyNumberFormats="0" applyBorderFormats="0" applyFontFormats="0" applyPatternFormats="0" applyAlignmentFormats="0" applyWidthHeightFormats="1" dataCaption="Values" tag="a144e916-55b8-47ce-9aea-3a6e457998ff" updatedVersion="7" minRefreshableVersion="3" useAutoFormatting="1" subtotalHiddenItems="1" itemPrintTitles="1" createdVersion="7" indent="0" outline="1" outlineData="1" multipleFieldFilters="0">
  <location ref="G5:G6" firstHeaderRow="1" firstDataRow="1" firstDataCol="0"/>
  <pivotFields count="1">
    <pivotField dataField="1" subtotalTop="0" showAll="0" defaultSubtotal="0"/>
  </pivotFields>
  <rowItems count="1">
    <i/>
  </rowItems>
  <colItems count="1">
    <i/>
  </colItems>
  <dataFields count="1">
    <dataField name="Sum of Total Sale (total revenue)" fld="0" baseField="0" baseItem="957792914"/>
  </dataFields>
  <pivotHierarchies count="48">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Sale (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26AB1-9BC0-4112-9871-E2944D2D5CA3}" name="PivotTable17" cacheId="2" applyNumberFormats="0" applyBorderFormats="0" applyFontFormats="0" applyPatternFormats="0" applyAlignmentFormats="0" applyWidthHeightFormats="1" dataCaption="Values" tag="d53f6a17-b00b-4ba2-a05c-e2eebbb00eb9" updatedVersion="7" minRefreshableVersion="3" useAutoFormatting="1" subtotalHiddenItems="1" itemPrintTitles="1" createdVersion="7" indent="0" outline="1" outlineData="1" multipleFieldFilters="0" chartFormat="10">
  <location ref="D8:D9" firstHeaderRow="1" firstDataRow="1" firstDataCol="0"/>
  <pivotFields count="3">
    <pivotField allDrilled="1" subtotalTop="0" showAll="0" measureFilter="1" defaultSubtotal="0" defaultAttributeDrillState="1">
      <items count="3">
        <item x="0"/>
        <item x="1"/>
        <item x="2"/>
      </items>
    </pivotField>
    <pivotField allDrilled="1" subtotalTop="0" showAll="0" sortType="ascending" defaultSubtotal="0" defaultAttributeDrillState="1">
      <items count="4">
        <item x="2"/>
        <item x="1"/>
        <item x="3"/>
        <item x="0"/>
      </items>
    </pivotField>
    <pivotField dataField="1" subtotalTop="0" showAll="0" defaultSubtotal="0"/>
  </pivotFields>
  <rowItems count="1">
    <i/>
  </rowItems>
  <colItems count="1">
    <i/>
  </colItems>
  <dataFields count="1">
    <dataField name="Count of Product" fld="2" subtotal="count" baseField="0" baseItem="0"/>
  </dataFields>
  <pivotHierarchies count="48">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2347A-584A-476A-8FE9-2B1AE94C2F00}" name="PivotTable16" cacheId="1" applyNumberFormats="0" applyBorderFormats="0" applyFontFormats="0" applyPatternFormats="0" applyAlignmentFormats="0" applyWidthHeightFormats="1" dataCaption="Values" tag="e6e6c8fc-2054-4bee-a95c-50f7ff482113" updatedVersion="7" minRefreshableVersion="3" useAutoFormatting="1" subtotalHiddenItems="1" itemPrintTitles="1" createdVersion="7" indent="0" outline="1" outlineData="1" multipleFieldFilters="0" chartFormat="21">
  <location ref="D4:D5" firstHeaderRow="1" firstDataRow="1" firstDataCol="0"/>
  <pivotFields count="3">
    <pivotField allDrilled="1" subtotalTop="0" showAll="0" measureFilter="1" defaultSubtotal="0" defaultAttributeDrillState="1">
      <items count="3">
        <item x="1"/>
        <item x="2"/>
        <item x="0"/>
      </items>
    </pivotField>
    <pivotField allDrilled="1" subtotalTop="0" showAll="0" sortType="ascending" defaultSubtotal="0" defaultAttributeDrillState="1">
      <items count="4">
        <item x="2"/>
        <item x="1"/>
        <item x="3"/>
        <item x="0"/>
      </items>
    </pivotField>
    <pivotField dataField="1" subtotalTop="0" showAll="0" defaultSubtotal="0"/>
  </pivotFields>
  <rowItems count="1">
    <i/>
  </rowItems>
  <colItems count="1">
    <i/>
  </colItems>
  <dataFields count="1">
    <dataField name="Sum of Quantity" fld="2" baseField="0" baseItem="9"/>
  </dataFields>
  <pivotHierarchies count="48">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caption="Sum of Quantity"/>
    <pivotHierarchy dragToData="1" caption="Count of Quantity"/>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F74051-46F6-4062-A5ED-80F1D4DA0FB5}" name="Months" cacheId="92" applyNumberFormats="0" applyBorderFormats="0" applyFontFormats="0" applyPatternFormats="0" applyAlignmentFormats="0" applyWidthHeightFormats="1" dataCaption="Values" tag="4f69c400-560a-4acb-8df6-335a33408a0e" updatedVersion="7" minRefreshableVersion="5" useAutoFormatting="1" subtotalHiddenItems="1" itemPrintTitles="1" createdVersion="7" indent="0" outline="1" outlineData="1" multipleFieldFilters="0" chartFormat="16">
  <location ref="A23:B25" firstHeaderRow="1" firstDataRow="1" firstDataCol="1"/>
  <pivotFields count="4">
    <pivotField allDrilled="1" subtotalTop="0" showAll="0" sortType="descending" defaultSubtotal="0" defaultAttributeDrillState="1">
      <items count="5">
        <item x="0"/>
        <item x="1"/>
        <item x="2"/>
        <item s="1"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4">
        <item x="2"/>
        <item x="1"/>
        <item x="0"/>
        <item x="3"/>
      </items>
    </pivotField>
    <pivotField allDrilled="1" subtotalTop="0" showAll="0" dataSourceSort="1" defaultSubtotal="0" defaultAttributeDrillState="1"/>
  </pivotFields>
  <rowFields count="1">
    <field x="2"/>
  </rowFields>
  <rowItems count="2">
    <i>
      <x v="2"/>
    </i>
    <i t="grand">
      <x/>
    </i>
  </rowItems>
  <colItems count="1">
    <i/>
  </colItems>
  <dataFields count="1">
    <dataField name="Sum of Total Sale" fld="1" baseField="0" baseItem="0"/>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 chart="15" format="9">
      <pivotArea type="data" outline="0" fieldPosition="0">
        <references count="2">
          <reference field="4294967294" count="1" selected="0">
            <x v="0"/>
          </reference>
          <reference field="2" count="1" selected="0">
            <x v="2"/>
          </reference>
        </references>
      </pivotArea>
    </chartFormat>
    <chartFormat chart="15" format="10">
      <pivotArea type="data" outline="0" fieldPosition="0">
        <references count="2">
          <reference field="4294967294" count="1" selected="0">
            <x v="0"/>
          </reference>
          <reference field="2" count="1" selected="0">
            <x v="3"/>
          </reference>
        </references>
      </pivotArea>
    </chartFormat>
  </chartFormats>
  <pivotHierarchies count="48">
    <pivotHierarchy dragToData="1"/>
    <pivotHierarchy dragToData="1"/>
    <pivotHierarchy multipleItemSelectionAllowed="1" dragToData="1">
      <members count="1" level="1">
        <member name="[Sales].[City].&amp;[Karachi]"/>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69A845-CF54-4437-8F48-C9D461A86FEC}" name="PivotTable13" cacheId="0" applyNumberFormats="0" applyBorderFormats="0" applyFontFormats="0" applyPatternFormats="0" applyAlignmentFormats="0" applyWidthHeightFormats="1" dataCaption="Values" tag="57b15de7-51cc-41f6-a030-3d4c22ef3916" updatedVersion="7" minRefreshableVersion="3" useAutoFormatting="1" subtotalHiddenItems="1" itemPrintTitles="1" createdVersion="7" indent="0" outline="1" outlineData="1" multipleFieldFilters="0" chartFormat="13">
  <location ref="G9:H15"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i>
    <i>
      <x v="2"/>
    </i>
    <i>
      <x v="3"/>
    </i>
    <i t="grand">
      <x/>
    </i>
  </rowItems>
  <colItems count="1">
    <i/>
  </colItems>
  <dataFields count="1">
    <dataField name="Sum of Total Sale"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A7A2E4-784F-48F4-86EA-7589DB272B6E}" name="Products" cacheId="95" applyNumberFormats="0" applyBorderFormats="0" applyFontFormats="0" applyPatternFormats="0" applyAlignmentFormats="0" applyWidthHeightFormats="1" dataCaption="Values" tag="9088823f-becc-47e3-818e-8468bf51ffb4" updatedVersion="7" minRefreshableVersion="5" useAutoFormatting="1" subtotalHiddenItems="1" itemPrintTitles="1" createdVersion="7" indent="0" outline="1" outlineData="1" multipleFieldFilters="0" chartFormat="13">
  <location ref="A15:B17" firstHeaderRow="1" firstDataRow="1" firstDataCol="1"/>
  <pivotFields count="3">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 Sale"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members count="1" level="1">
        <member name="[Sales].[City].&amp;[Karachi]"/>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E93023-59DA-4877-8CCD-1BAF6CEA06D3}" name="City" cacheId="86" applyNumberFormats="0" applyBorderFormats="0" applyFontFormats="0" applyPatternFormats="0" applyAlignmentFormats="0" applyWidthHeightFormats="1" dataCaption="Values" tag="2506742a-4fd0-4a7f-b77c-0fe5f28c8952" updatedVersion="7" minRefreshableVersion="5" useAutoFormatting="1" subtotalHiddenItems="1" itemPrintTitles="1" createdVersion="7" indent="0" outline="1" outlineData="1" multipleFieldFilters="0" chartFormat="21">
  <location ref="A8:B10"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 Sale" fld="1" baseField="0" baseItem="0"/>
  </dataFields>
  <chartFormats count="1">
    <chartFormat chart="20" format="2"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pivotHierarchy multipleItemSelectionAllowed="1" dragToData="1"/>
    <pivotHierarchy multipleItemSelectionAllowed="1" dragToData="1">
      <members count="1" level="1">
        <member name="[Sales].[Product].&amp;[USB Cab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1B37D1-F970-4F94-99A1-5C4121A12F21}" name="quantity" cacheId="98" applyNumberFormats="0" applyBorderFormats="0" applyFontFormats="0" applyPatternFormats="0" applyAlignmentFormats="0" applyWidthHeightFormats="1" dataCaption="Values" tag="49e0e37e-0026-46be-9726-40c3d4c9294a" updatedVersion="7" minRefreshableVersion="5" useAutoFormatting="1" subtotalHiddenItems="1" itemPrintTitles="1" createdVersion="7" indent="0" outline="1" outlineData="1" multipleFieldFilters="0" chartFormat="21">
  <location ref="E22:F24" firstHeaderRow="1" firstDataRow="1" firstDataCol="1"/>
  <pivotFields count="4">
    <pivotField axis="axisRow" allDrilled="1" subtotalTop="0" showAll="0" defaultSubtotal="0" defaultAttributeDrillState="1">
      <items count="1">
        <item s="1" x="0"/>
      </items>
    </pivotField>
    <pivotField allDrilled="1" subtotalTop="0" showAll="0" sortType="ascending" defaultSubtotal="0" defaultAttributeDrillState="1">
      <items count="4">
        <item x="2"/>
        <item x="1"/>
        <item x="3"/>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Quantity" fld="2" baseField="0" baseItem="0"/>
  </dataFields>
  <chartFormats count="1">
    <chartFormat chart="20" format="2" series="1">
      <pivotArea type="data" outline="0" fieldPosition="0">
        <references count="1">
          <reference field="4294967294" count="1" selected="0">
            <x v="0"/>
          </reference>
        </references>
      </pivotArea>
    </chartFormat>
  </chartFormats>
  <pivotHierarchies count="48">
    <pivotHierarchy dragToData="1"/>
    <pivotHierarchy dragToData="1"/>
    <pivotHierarchy multipleItemSelectionAllowed="1" dragToData="1">
      <members count="1" level="1">
        <member name="[Sales].[City].&amp;[Karachi]"/>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7E1B7DD-C824-45D7-BAD3-9E9A827F7B1C}" autoFormatId="16" applyNumberFormats="0" applyBorderFormats="0" applyFontFormats="0" applyPatternFormats="0" applyAlignmentFormats="0" applyWidthHeightFormats="0">
  <queryTableRefresh nextId="13">
    <queryTableFields count="12">
      <queryTableField id="1" name="Order_ID" tableColumnId="1"/>
      <queryTableField id="2" name="Date" tableColumnId="2"/>
      <queryTableField id="3" name="City" tableColumnId="3"/>
      <queryTableField id="4" name="Category" tableColumnId="4"/>
      <queryTableField id="5" name="Product" tableColumnId="5"/>
      <queryTableField id="6" name="Quantity" tableColumnId="6"/>
      <queryTableField id="7" name="Unit_Price_PKR" tableColumnId="7"/>
      <queryTableField id="8" name="Sales_Channel" tableColumnId="8"/>
      <queryTableField id="9" name="Total Sale" tableColumnId="9"/>
      <queryTableField id="10" name="Month Name" tableColumnId="10"/>
      <queryTableField id="11" name="Date (Month Index)" tableColumnId="11"/>
      <queryTableField id="12" name="Date (Month)" tableColumnId="12"/>
    </queryTableFields>
  </queryTableRefresh>
  <extLst>
    <ext xmlns:x15="http://schemas.microsoft.com/office/spreadsheetml/2010/11/main" uri="{883FBD77-0823-4a55-B5E3-86C4891E6966}">
      <x15:queryTable sourceDataName="Query -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F3887B-2420-4FD1-A84A-C267EA3AB2FD}" sourceName="[Sales].[Category]">
  <pivotTables>
    <pivotTable tabId="3" name="category"/>
    <pivotTable tabId="3" name="quantity"/>
    <pivotTable tabId="3" name="City"/>
    <pivotTable tabId="3" name="Products"/>
    <pivotTable tabId="3" name="Months"/>
    <pivotTable tabId="3" name="stores"/>
  </pivotTables>
  <data>
    <olap pivotCacheId="1031636075">
      <levels count="2">
        <level uniqueName="[Sales].[Category].[(All)]" sourceCaption="(All)" count="0"/>
        <level uniqueName="[Sales].[Category].[Category]" sourceCaption="Category" count="3">
          <ranges>
            <range startItem="0">
              <i n="[Sales].[Category].&amp;[Electronics]" c="Electronics"/>
              <i n="[Sales].[Category].&amp;[Home]" c="Home" nd="1"/>
              <i n="[Sales].[Category].&amp;[Stationery]" c="Stationery" nd="1"/>
            </range>
          </ranges>
        </level>
      </levels>
      <selections count="1">
        <selection n="[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2A24604-2A44-4B5B-ACBE-DDCF8638544A}" sourceName="[Sales].[Product]">
  <pivotTables>
    <pivotTable tabId="3" name="City"/>
    <pivotTable tabId="3" name="category"/>
    <pivotTable tabId="3" name="Months"/>
    <pivotTable tabId="3" name="Products"/>
    <pivotTable tabId="3" name="quantity"/>
    <pivotTable tabId="3" name="stores"/>
  </pivotTables>
  <data>
    <olap pivotCacheId="1031636075">
      <levels count="2">
        <level uniqueName="[Sales].[Product].[(All)]" sourceCaption="(All)" count="0"/>
        <level uniqueName="[Sales].[Product].[Product]" sourceCaption="Product" count="10">
          <ranges>
            <range startItem="0">
              <i n="[Sales].[Product].&amp;[Desk Lamp]" c="Desk Lamp"/>
              <i n="[Sales].[Product].&amp;[Headphones]" c="Headphones"/>
              <i n="[Sales].[Product].&amp;[Keyboard]" c="Keyboard"/>
              <i n="[Sales].[Product].&amp;[Notebook]" c="Notebook"/>
              <i n="[Sales].[Product].&amp;[Pen Set]" c="Pen Set"/>
              <i n="[Sales].[Product].&amp;[Power Bank]" c="Power Bank"/>
              <i n="[Sales].[Product].&amp;[Storage Box]" c="Storage Box"/>
              <i n="[Sales].[Product].&amp;[USB Cable]" c="USB Cable"/>
              <i n="[Sales].[Product].&amp;[Water Bottle]" c="Water Bottle"/>
              <i n="[Sales].[Product].&amp;[Wireless Mouse]" c="Wireless Mouse"/>
            </range>
          </ranges>
        </level>
      </levels>
      <selections count="1">
        <selection n="[Sales].[Product].&amp;[USB Cab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F067D40-6F32-4B2E-8B92-4E8CDC4DC3FC}" sourceName="[Sales].[City]">
  <pivotTables>
    <pivotTable tabId="3" name="City"/>
    <pivotTable tabId="3" name="stores"/>
    <pivotTable tabId="3" name="category"/>
    <pivotTable tabId="3" name="quantity"/>
    <pivotTable tabId="3" name="Products"/>
    <pivotTable tabId="3" name="Months"/>
  </pivotTables>
  <data>
    <olap pivotCacheId="1031636075">
      <levels count="2">
        <level uniqueName="[Sales].[City].[(All)]" sourceCaption="(All)" count="0"/>
        <level uniqueName="[Sales].[City].[City]" sourceCaption="City" count="3">
          <ranges>
            <range startItem="0">
              <i n="[Sales].[City].&amp;[Karachi]" c="Karachi"/>
              <i n="[Sales].[City].&amp;[Lahore]" c="Lahore"/>
              <i n="[Sales].[City].&amp;[Islamabad]" c="Islamabad" nd="1"/>
            </range>
          </ranges>
        </level>
      </levels>
      <selections count="1">
        <selection n="[Sales].[City].&amp;[Karach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275F030-173A-4FA5-8150-CEB5EACBDA47}" cache="Slicer_Category" caption="Category" level="1" rowHeight="234950"/>
  <slicer name="Product" xr10:uid="{5A268D59-C738-4585-A04C-065D5AFCE993}" cache="Slicer_Product" caption="Product" columnCount="2" level="1" rowHeight="234950"/>
  <slicer name="City" xr10:uid="{6C6ECCFF-35E4-459B-93DA-88E0C0E568D1}" cache="Slicer_City" caption="City"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1BED5-FBE8-4C21-BF7C-9ED898B1E3EE}" name="Table1" displayName="Table1" ref="A1:H31" totalsRowShown="0" headerRowDxfId="9" headerRowBorderDxfId="8" tableBorderDxfId="7">
  <autoFilter ref="A1:H31" xr:uid="{00000000-0009-0000-0000-000000000000}"/>
  <tableColumns count="8">
    <tableColumn id="1" xr3:uid="{5015509D-C8D3-44EF-9B94-13B37FABEE2F}" name="Order_ID"/>
    <tableColumn id="2" xr3:uid="{0BC2AB7C-7726-4FF9-9E18-BF951DD2B5EF}" name="Date" dataDxfId="6"/>
    <tableColumn id="3" xr3:uid="{D073EAB6-FA2F-4ECE-BFB6-373DF5B67035}" name="City"/>
    <tableColumn id="4" xr3:uid="{5E66BE9A-8AC8-4BD4-9DB0-5FDF0BBB93C3}" name="Category"/>
    <tableColumn id="5" xr3:uid="{A9302751-1D00-45A1-A914-512F78C9B620}" name="Product"/>
    <tableColumn id="6" xr3:uid="{8B04CB85-751C-442F-BAD9-278C985A7AC2}" name="Quantity"/>
    <tableColumn id="7" xr3:uid="{3AFA2B80-098E-40C2-A308-6C48E794F5C4}" name="Unit_Price_PKR"/>
    <tableColumn id="8" xr3:uid="{A30B9390-541A-42A7-BBF6-DBA389F8DD86}" name="Sales_Chann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2E9C06-2CE5-40E3-82BE-1AE6F8A8FA1A}" name="Sales" displayName="Sales" ref="A1:L31" tableType="queryTable" totalsRowShown="0">
  <autoFilter ref="A1:L31" xr:uid="{F02E9C06-2CE5-40E3-82BE-1AE6F8A8FA1A}"/>
  <tableColumns count="12">
    <tableColumn id="1" xr3:uid="{E43CDF85-62FB-4B28-A55E-E4A466255B7E}" uniqueName="1" name="Order_ID" queryTableFieldId="1"/>
    <tableColumn id="2" xr3:uid="{C4DBD2E9-DC17-4CFD-A6F5-52412F7AE03C}" uniqueName="2" name="Date" queryTableFieldId="2" dataDxfId="5"/>
    <tableColumn id="3" xr3:uid="{255BEEC4-0DF2-4326-903A-0CFA851FE8EE}" uniqueName="3" name="City" queryTableFieldId="3" dataDxfId="4"/>
    <tableColumn id="4" xr3:uid="{4CA81357-0AC1-42E9-A5C9-B6298791E4F4}" uniqueName="4" name="Category" queryTableFieldId="4" dataDxfId="3"/>
    <tableColumn id="5" xr3:uid="{9CD20B5A-598E-410A-862E-DE6AAABCF6FA}" uniqueName="5" name="Product" queryTableFieldId="5" dataDxfId="2"/>
    <tableColumn id="6" xr3:uid="{8B309F77-C5BF-4C11-8A76-3051DABFB058}" uniqueName="6" name="Quantity" queryTableFieldId="6"/>
    <tableColumn id="7" xr3:uid="{85571E57-AD7E-4548-B514-731D80B832BA}" uniqueName="7" name="Unit_Price_PKR" queryTableFieldId="7"/>
    <tableColumn id="8" xr3:uid="{E87DE1C7-7DFC-4D19-B667-C0E3F83F104E}" uniqueName="8" name="Sales_Channel" queryTableFieldId="8" dataDxfId="1"/>
    <tableColumn id="9" xr3:uid="{FE8053CF-CD7F-491A-A2E4-81246B36C104}" uniqueName="9" name="Total Sale" queryTableFieldId="9"/>
    <tableColumn id="10" xr3:uid="{EF870ECD-7334-47CC-BC3D-5D87EF014941}" uniqueName="10" name="Month Name" queryTableFieldId="10" dataDxfId="0"/>
    <tableColumn id="11" xr3:uid="{7789948C-E6C4-4437-81F2-339414CB96C3}" uniqueName="11" name="Date (Month Index)" queryTableFieldId="11"/>
    <tableColumn id="12" xr3:uid="{707DA106-5F13-414C-92F7-7CDCB1E60768}" uniqueName="12" name="Date (Month)"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69E118E-ADE7-4C44-A72E-F315ADE58C0F}" sourceName="[Sales].[Date]">
  <pivotTables>
    <pivotTable tabId="3" name="Months"/>
    <pivotTable tabId="3" name="category"/>
    <pivotTable tabId="3" name="City"/>
    <pivotTable tabId="3" name="Products"/>
    <pivotTable tabId="3" name="quantity"/>
    <pivotTable tabId="3" name="stores"/>
  </pivotTables>
  <state minimalRefreshVersion="6" lastRefreshVersion="6" pivotCacheId="660788150"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214D01D-0232-4EFB-BB02-9992B60CE3F5}" cache="Timeline_Date" caption="Date" level="2" selectionLevel="2" scrollPosition="2026-04-1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workbookViewId="0">
      <pane ySplit="1" topLeftCell="A2" activePane="bottomLeft" state="frozen"/>
      <selection pane="bottomLeft" activeCell="A2" sqref="A2:H31"/>
    </sheetView>
  </sheetViews>
  <sheetFormatPr defaultRowHeight="14.4" x14ac:dyDescent="0.3"/>
  <cols>
    <col min="1" max="1" width="10.44140625" customWidth="1"/>
    <col min="2" max="2" width="21" customWidth="1"/>
    <col min="3" max="3" width="11" customWidth="1"/>
    <col min="4" max="4" width="13" customWidth="1"/>
    <col min="5" max="5" width="16" customWidth="1"/>
    <col min="6" max="6" width="10.21875" customWidth="1"/>
    <col min="7" max="7" width="16" customWidth="1"/>
    <col min="8" max="8" width="15" customWidth="1"/>
  </cols>
  <sheetData>
    <row r="1" spans="1:8" x14ac:dyDescent="0.3">
      <c r="A1" s="2" t="s">
        <v>0</v>
      </c>
      <c r="B1" s="2" t="s">
        <v>1</v>
      </c>
      <c r="C1" s="2" t="s">
        <v>2</v>
      </c>
      <c r="D1" s="2" t="s">
        <v>3</v>
      </c>
      <c r="E1" s="2" t="s">
        <v>4</v>
      </c>
      <c r="F1" s="2" t="s">
        <v>5</v>
      </c>
      <c r="G1" s="2" t="s">
        <v>6</v>
      </c>
      <c r="H1" s="2" t="s">
        <v>7</v>
      </c>
    </row>
    <row r="2" spans="1:8" x14ac:dyDescent="0.3">
      <c r="A2">
        <v>1001</v>
      </c>
      <c r="B2" s="1">
        <v>46025</v>
      </c>
      <c r="C2" t="s">
        <v>8</v>
      </c>
      <c r="D2" t="s">
        <v>9</v>
      </c>
      <c r="E2" t="s">
        <v>10</v>
      </c>
      <c r="F2">
        <v>2</v>
      </c>
      <c r="G2">
        <v>1800</v>
      </c>
      <c r="H2" t="s">
        <v>11</v>
      </c>
    </row>
    <row r="3" spans="1:8" x14ac:dyDescent="0.3">
      <c r="A3">
        <v>1002</v>
      </c>
      <c r="B3" s="1">
        <v>46027</v>
      </c>
      <c r="C3" t="s">
        <v>12</v>
      </c>
      <c r="D3" t="s">
        <v>13</v>
      </c>
      <c r="E3" t="s">
        <v>14</v>
      </c>
      <c r="F3">
        <v>5</v>
      </c>
      <c r="G3">
        <v>450</v>
      </c>
      <c r="H3" t="s">
        <v>15</v>
      </c>
    </row>
    <row r="4" spans="1:8" x14ac:dyDescent="0.3">
      <c r="A4">
        <v>1003</v>
      </c>
      <c r="B4" s="1">
        <v>46030</v>
      </c>
      <c r="C4" t="s">
        <v>16</v>
      </c>
      <c r="D4" t="s">
        <v>9</v>
      </c>
      <c r="E4" t="s">
        <v>17</v>
      </c>
      <c r="F4">
        <v>1</v>
      </c>
      <c r="G4">
        <v>3200</v>
      </c>
      <c r="H4" t="s">
        <v>11</v>
      </c>
    </row>
    <row r="5" spans="1:8" x14ac:dyDescent="0.3">
      <c r="A5">
        <v>1004</v>
      </c>
      <c r="B5" s="1">
        <v>46034</v>
      </c>
      <c r="C5" t="s">
        <v>8</v>
      </c>
      <c r="D5" t="s">
        <v>18</v>
      </c>
      <c r="E5" t="s">
        <v>19</v>
      </c>
      <c r="F5">
        <v>2</v>
      </c>
      <c r="G5">
        <v>2100</v>
      </c>
      <c r="H5" t="s">
        <v>15</v>
      </c>
    </row>
    <row r="6" spans="1:8" x14ac:dyDescent="0.3">
      <c r="A6">
        <v>1005</v>
      </c>
      <c r="B6" s="1">
        <v>46037</v>
      </c>
      <c r="C6" t="s">
        <v>12</v>
      </c>
      <c r="D6" t="s">
        <v>9</v>
      </c>
      <c r="E6" t="s">
        <v>20</v>
      </c>
      <c r="F6">
        <v>1</v>
      </c>
      <c r="G6">
        <v>5500</v>
      </c>
      <c r="H6" t="s">
        <v>11</v>
      </c>
    </row>
    <row r="7" spans="1:8" x14ac:dyDescent="0.3">
      <c r="A7">
        <v>1006</v>
      </c>
      <c r="B7" s="1">
        <v>46040</v>
      </c>
      <c r="C7" t="s">
        <v>16</v>
      </c>
      <c r="D7" t="s">
        <v>13</v>
      </c>
      <c r="E7" t="s">
        <v>21</v>
      </c>
      <c r="F7">
        <v>8</v>
      </c>
      <c r="G7">
        <v>300</v>
      </c>
      <c r="H7" t="s">
        <v>15</v>
      </c>
    </row>
    <row r="8" spans="1:8" x14ac:dyDescent="0.3">
      <c r="A8">
        <v>1007</v>
      </c>
      <c r="B8" s="1">
        <v>46043</v>
      </c>
      <c r="C8" t="s">
        <v>8</v>
      </c>
      <c r="D8" t="s">
        <v>18</v>
      </c>
      <c r="E8" t="s">
        <v>22</v>
      </c>
      <c r="F8">
        <v>3</v>
      </c>
      <c r="G8">
        <v>900</v>
      </c>
      <c r="H8" t="s">
        <v>11</v>
      </c>
    </row>
    <row r="9" spans="1:8" x14ac:dyDescent="0.3">
      <c r="A9">
        <v>1008</v>
      </c>
      <c r="B9" s="1">
        <v>46046</v>
      </c>
      <c r="C9" t="s">
        <v>12</v>
      </c>
      <c r="D9" t="s">
        <v>9</v>
      </c>
      <c r="E9" t="s">
        <v>23</v>
      </c>
      <c r="F9">
        <v>6</v>
      </c>
      <c r="G9">
        <v>650</v>
      </c>
      <c r="H9" t="s">
        <v>11</v>
      </c>
    </row>
    <row r="10" spans="1:8" x14ac:dyDescent="0.3">
      <c r="A10">
        <v>1009</v>
      </c>
      <c r="B10" s="1">
        <v>46049</v>
      </c>
      <c r="C10" t="s">
        <v>16</v>
      </c>
      <c r="D10" t="s">
        <v>18</v>
      </c>
      <c r="E10" t="s">
        <v>24</v>
      </c>
      <c r="F10">
        <v>4</v>
      </c>
      <c r="G10">
        <v>750</v>
      </c>
      <c r="H10" t="s">
        <v>15</v>
      </c>
    </row>
    <row r="11" spans="1:8" x14ac:dyDescent="0.3">
      <c r="A11">
        <v>1010</v>
      </c>
      <c r="B11" s="1">
        <v>46052</v>
      </c>
      <c r="C11" t="s">
        <v>8</v>
      </c>
      <c r="D11" t="s">
        <v>9</v>
      </c>
      <c r="E11" t="s">
        <v>25</v>
      </c>
      <c r="F11">
        <v>2</v>
      </c>
      <c r="G11">
        <v>2800</v>
      </c>
      <c r="H11" t="s">
        <v>11</v>
      </c>
    </row>
    <row r="12" spans="1:8" x14ac:dyDescent="0.3">
      <c r="A12">
        <v>1011</v>
      </c>
      <c r="B12" s="1">
        <v>46055</v>
      </c>
      <c r="C12" t="s">
        <v>12</v>
      </c>
      <c r="D12" t="s">
        <v>18</v>
      </c>
      <c r="E12" t="s">
        <v>19</v>
      </c>
      <c r="F12">
        <v>1</v>
      </c>
      <c r="G12">
        <v>2100</v>
      </c>
      <c r="H12" t="s">
        <v>15</v>
      </c>
    </row>
    <row r="13" spans="1:8" x14ac:dyDescent="0.3">
      <c r="A13">
        <v>1012</v>
      </c>
      <c r="B13" s="1">
        <v>46058</v>
      </c>
      <c r="C13" t="s">
        <v>16</v>
      </c>
      <c r="D13" t="s">
        <v>13</v>
      </c>
      <c r="E13" t="s">
        <v>14</v>
      </c>
      <c r="F13">
        <v>10</v>
      </c>
      <c r="G13">
        <v>450</v>
      </c>
      <c r="H13" t="s">
        <v>11</v>
      </c>
    </row>
    <row r="14" spans="1:8" x14ac:dyDescent="0.3">
      <c r="A14">
        <v>1013</v>
      </c>
      <c r="B14" s="1">
        <v>46062</v>
      </c>
      <c r="C14" t="s">
        <v>8</v>
      </c>
      <c r="D14" t="s">
        <v>9</v>
      </c>
      <c r="E14" t="s">
        <v>17</v>
      </c>
      <c r="F14">
        <v>2</v>
      </c>
      <c r="G14">
        <v>3200</v>
      </c>
      <c r="H14" t="s">
        <v>11</v>
      </c>
    </row>
    <row r="15" spans="1:8" x14ac:dyDescent="0.3">
      <c r="A15">
        <v>1014</v>
      </c>
      <c r="B15" s="1">
        <v>46065</v>
      </c>
      <c r="C15" t="s">
        <v>12</v>
      </c>
      <c r="D15" t="s">
        <v>18</v>
      </c>
      <c r="E15" t="s">
        <v>22</v>
      </c>
      <c r="F15">
        <v>5</v>
      </c>
      <c r="G15">
        <v>900</v>
      </c>
      <c r="H15" t="s">
        <v>15</v>
      </c>
    </row>
    <row r="16" spans="1:8" x14ac:dyDescent="0.3">
      <c r="A16">
        <v>1015</v>
      </c>
      <c r="B16" s="1">
        <v>46069</v>
      </c>
      <c r="C16" t="s">
        <v>16</v>
      </c>
      <c r="D16" t="s">
        <v>9</v>
      </c>
      <c r="E16" t="s">
        <v>10</v>
      </c>
      <c r="F16">
        <v>3</v>
      </c>
      <c r="G16">
        <v>1800</v>
      </c>
      <c r="H16" t="s">
        <v>11</v>
      </c>
    </row>
    <row r="17" spans="1:8" x14ac:dyDescent="0.3">
      <c r="A17">
        <v>1016</v>
      </c>
      <c r="B17" s="1">
        <v>46073</v>
      </c>
      <c r="C17" t="s">
        <v>8</v>
      </c>
      <c r="D17" t="s">
        <v>13</v>
      </c>
      <c r="E17" t="s">
        <v>21</v>
      </c>
      <c r="F17">
        <v>12</v>
      </c>
      <c r="G17">
        <v>300</v>
      </c>
      <c r="H17" t="s">
        <v>15</v>
      </c>
    </row>
    <row r="18" spans="1:8" x14ac:dyDescent="0.3">
      <c r="A18">
        <v>1017</v>
      </c>
      <c r="B18" s="1">
        <v>46076</v>
      </c>
      <c r="C18" t="s">
        <v>12</v>
      </c>
      <c r="D18" t="s">
        <v>9</v>
      </c>
      <c r="E18" t="s">
        <v>20</v>
      </c>
      <c r="F18">
        <v>2</v>
      </c>
      <c r="G18">
        <v>5500</v>
      </c>
      <c r="H18" t="s">
        <v>11</v>
      </c>
    </row>
    <row r="19" spans="1:8" x14ac:dyDescent="0.3">
      <c r="A19">
        <v>1018</v>
      </c>
      <c r="B19" s="1">
        <v>46079</v>
      </c>
      <c r="C19" t="s">
        <v>16</v>
      </c>
      <c r="D19" t="s">
        <v>18</v>
      </c>
      <c r="E19" t="s">
        <v>24</v>
      </c>
      <c r="F19">
        <v>6</v>
      </c>
      <c r="G19">
        <v>750</v>
      </c>
      <c r="H19" t="s">
        <v>15</v>
      </c>
    </row>
    <row r="20" spans="1:8" x14ac:dyDescent="0.3">
      <c r="A20">
        <v>1019</v>
      </c>
      <c r="B20" s="1">
        <v>46083</v>
      </c>
      <c r="C20" t="s">
        <v>8</v>
      </c>
      <c r="D20" t="s">
        <v>9</v>
      </c>
      <c r="E20" t="s">
        <v>23</v>
      </c>
      <c r="F20">
        <v>10</v>
      </c>
      <c r="G20">
        <v>650</v>
      </c>
      <c r="H20" t="s">
        <v>11</v>
      </c>
    </row>
    <row r="21" spans="1:8" x14ac:dyDescent="0.3">
      <c r="A21">
        <v>1020</v>
      </c>
      <c r="B21" s="1">
        <v>46086</v>
      </c>
      <c r="C21" t="s">
        <v>12</v>
      </c>
      <c r="D21" t="s">
        <v>18</v>
      </c>
      <c r="E21" t="s">
        <v>19</v>
      </c>
      <c r="F21">
        <v>3</v>
      </c>
      <c r="G21">
        <v>2100</v>
      </c>
      <c r="H21" t="s">
        <v>15</v>
      </c>
    </row>
    <row r="22" spans="1:8" x14ac:dyDescent="0.3">
      <c r="A22">
        <v>1021</v>
      </c>
      <c r="B22" s="1">
        <v>46090</v>
      </c>
      <c r="C22" t="s">
        <v>16</v>
      </c>
      <c r="D22" t="s">
        <v>9</v>
      </c>
      <c r="E22" t="s">
        <v>25</v>
      </c>
      <c r="F22">
        <v>4</v>
      </c>
      <c r="G22">
        <v>2800</v>
      </c>
      <c r="H22" t="s">
        <v>11</v>
      </c>
    </row>
    <row r="23" spans="1:8" x14ac:dyDescent="0.3">
      <c r="A23">
        <v>1022</v>
      </c>
      <c r="B23" s="1">
        <v>46094</v>
      </c>
      <c r="C23" t="s">
        <v>8</v>
      </c>
      <c r="D23" t="s">
        <v>13</v>
      </c>
      <c r="E23" t="s">
        <v>14</v>
      </c>
      <c r="F23">
        <v>7</v>
      </c>
      <c r="G23">
        <v>450</v>
      </c>
      <c r="H23" t="s">
        <v>15</v>
      </c>
    </row>
    <row r="24" spans="1:8" x14ac:dyDescent="0.3">
      <c r="A24">
        <v>1023</v>
      </c>
      <c r="B24" s="1">
        <v>46098</v>
      </c>
      <c r="C24" t="s">
        <v>12</v>
      </c>
      <c r="D24" t="s">
        <v>9</v>
      </c>
      <c r="E24" t="s">
        <v>17</v>
      </c>
      <c r="F24">
        <v>1</v>
      </c>
      <c r="G24">
        <v>3200</v>
      </c>
      <c r="H24" t="s">
        <v>11</v>
      </c>
    </row>
    <row r="25" spans="1:8" x14ac:dyDescent="0.3">
      <c r="A25">
        <v>1024</v>
      </c>
      <c r="B25" s="1">
        <v>46102</v>
      </c>
      <c r="C25" t="s">
        <v>16</v>
      </c>
      <c r="D25" t="s">
        <v>18</v>
      </c>
      <c r="E25" t="s">
        <v>22</v>
      </c>
      <c r="F25">
        <v>8</v>
      </c>
      <c r="G25">
        <v>900</v>
      </c>
      <c r="H25" t="s">
        <v>15</v>
      </c>
    </row>
    <row r="26" spans="1:8" x14ac:dyDescent="0.3">
      <c r="A26">
        <v>1025</v>
      </c>
      <c r="B26" s="1">
        <v>46106</v>
      </c>
      <c r="C26" t="s">
        <v>8</v>
      </c>
      <c r="D26" t="s">
        <v>9</v>
      </c>
      <c r="E26" t="s">
        <v>20</v>
      </c>
      <c r="F26">
        <v>1</v>
      </c>
      <c r="G26">
        <v>5500</v>
      </c>
      <c r="H26" t="s">
        <v>11</v>
      </c>
    </row>
    <row r="27" spans="1:8" x14ac:dyDescent="0.3">
      <c r="A27">
        <v>1026</v>
      </c>
      <c r="B27" s="1">
        <v>46110</v>
      </c>
      <c r="C27" t="s">
        <v>12</v>
      </c>
      <c r="D27" t="s">
        <v>13</v>
      </c>
      <c r="E27" t="s">
        <v>21</v>
      </c>
      <c r="F27">
        <v>15</v>
      </c>
      <c r="G27">
        <v>300</v>
      </c>
      <c r="H27" t="s">
        <v>15</v>
      </c>
    </row>
    <row r="28" spans="1:8" x14ac:dyDescent="0.3">
      <c r="A28">
        <v>1027</v>
      </c>
      <c r="B28" s="1">
        <v>46114</v>
      </c>
      <c r="C28" t="s">
        <v>16</v>
      </c>
      <c r="D28" t="s">
        <v>9</v>
      </c>
      <c r="E28" t="s">
        <v>10</v>
      </c>
      <c r="F28">
        <v>5</v>
      </c>
      <c r="G28">
        <v>1800</v>
      </c>
      <c r="H28" t="s">
        <v>11</v>
      </c>
    </row>
    <row r="29" spans="1:8" x14ac:dyDescent="0.3">
      <c r="A29">
        <v>1028</v>
      </c>
      <c r="B29" s="1">
        <v>46118</v>
      </c>
      <c r="C29" t="s">
        <v>8</v>
      </c>
      <c r="D29" t="s">
        <v>18</v>
      </c>
      <c r="E29" t="s">
        <v>24</v>
      </c>
      <c r="F29">
        <v>3</v>
      </c>
      <c r="G29">
        <v>750</v>
      </c>
      <c r="H29" t="s">
        <v>15</v>
      </c>
    </row>
    <row r="30" spans="1:8" x14ac:dyDescent="0.3">
      <c r="A30">
        <v>1029</v>
      </c>
      <c r="B30" s="1">
        <v>46122</v>
      </c>
      <c r="C30" t="s">
        <v>12</v>
      </c>
      <c r="D30" t="s">
        <v>9</v>
      </c>
      <c r="E30" t="s">
        <v>23</v>
      </c>
      <c r="F30">
        <v>8</v>
      </c>
      <c r="G30">
        <v>650</v>
      </c>
      <c r="H30" t="s">
        <v>11</v>
      </c>
    </row>
    <row r="31" spans="1:8" x14ac:dyDescent="0.3">
      <c r="A31">
        <v>1030</v>
      </c>
      <c r="B31" s="1">
        <v>46126</v>
      </c>
      <c r="C31" t="s">
        <v>16</v>
      </c>
      <c r="D31" t="s">
        <v>18</v>
      </c>
      <c r="E31" t="s">
        <v>19</v>
      </c>
      <c r="F31">
        <v>2</v>
      </c>
      <c r="G31">
        <v>2100</v>
      </c>
      <c r="H31" t="s">
        <v>15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FA93A-6573-45C4-AD7B-31468440986E}">
  <dimension ref="A1:L31"/>
  <sheetViews>
    <sheetView tabSelected="1" workbookViewId="0">
      <selection activeCell="E15" sqref="E15"/>
    </sheetView>
  </sheetViews>
  <sheetFormatPr defaultRowHeight="14.4" x14ac:dyDescent="0.3"/>
  <cols>
    <col min="1" max="1" width="10.77734375" bestFit="1" customWidth="1"/>
    <col min="2" max="2" width="13.6640625" bestFit="1" customWidth="1"/>
    <col min="3" max="3" width="9.33203125" bestFit="1" customWidth="1"/>
    <col min="4" max="4" width="10.77734375" bestFit="1" customWidth="1"/>
    <col min="5" max="5" width="14" bestFit="1" customWidth="1"/>
    <col min="6" max="6" width="10.5546875" bestFit="1" customWidth="1"/>
    <col min="7" max="7" width="16.33203125" bestFit="1" customWidth="1"/>
    <col min="8" max="8" width="15.44140625" bestFit="1" customWidth="1"/>
    <col min="9" max="9" width="11.33203125" bestFit="1" customWidth="1"/>
    <col min="10" max="10" width="14.44140625" bestFit="1" customWidth="1"/>
    <col min="11" max="11" width="20" bestFit="1" customWidth="1"/>
    <col min="12" max="12" width="14.6640625" bestFit="1" customWidth="1"/>
  </cols>
  <sheetData>
    <row r="1" spans="1:12" x14ac:dyDescent="0.3">
      <c r="A1" t="s">
        <v>0</v>
      </c>
      <c r="B1" t="s">
        <v>1</v>
      </c>
      <c r="C1" t="s">
        <v>2</v>
      </c>
      <c r="D1" t="s">
        <v>3</v>
      </c>
      <c r="E1" t="s">
        <v>4</v>
      </c>
      <c r="F1" t="s">
        <v>5</v>
      </c>
      <c r="G1" t="s">
        <v>6</v>
      </c>
      <c r="H1" t="s">
        <v>7</v>
      </c>
      <c r="I1" t="s">
        <v>26</v>
      </c>
      <c r="J1" t="s">
        <v>27</v>
      </c>
      <c r="K1" t="s">
        <v>39</v>
      </c>
      <c r="L1" t="s">
        <v>40</v>
      </c>
    </row>
    <row r="2" spans="1:12" x14ac:dyDescent="0.3">
      <c r="A2">
        <v>1001</v>
      </c>
      <c r="B2" s="3">
        <v>46025</v>
      </c>
      <c r="C2" s="4" t="s">
        <v>8</v>
      </c>
      <c r="D2" s="4" t="s">
        <v>9</v>
      </c>
      <c r="E2" s="4" t="s">
        <v>10</v>
      </c>
      <c r="F2">
        <v>2</v>
      </c>
      <c r="G2">
        <v>1800</v>
      </c>
      <c r="H2" s="4" t="s">
        <v>11</v>
      </c>
      <c r="I2">
        <v>3600</v>
      </c>
      <c r="J2" s="4" t="s">
        <v>28</v>
      </c>
      <c r="K2">
        <v>1</v>
      </c>
      <c r="L2" t="s">
        <v>41</v>
      </c>
    </row>
    <row r="3" spans="1:12" x14ac:dyDescent="0.3">
      <c r="A3">
        <v>1002</v>
      </c>
      <c r="B3" s="3">
        <v>46027</v>
      </c>
      <c r="C3" s="4" t="s">
        <v>12</v>
      </c>
      <c r="D3" s="4" t="s">
        <v>13</v>
      </c>
      <c r="E3" s="4" t="s">
        <v>14</v>
      </c>
      <c r="F3">
        <v>5</v>
      </c>
      <c r="G3">
        <v>450</v>
      </c>
      <c r="H3" s="4" t="s">
        <v>15</v>
      </c>
      <c r="I3">
        <v>2250</v>
      </c>
      <c r="J3" s="4" t="s">
        <v>28</v>
      </c>
      <c r="K3">
        <v>1</v>
      </c>
      <c r="L3" t="s">
        <v>41</v>
      </c>
    </row>
    <row r="4" spans="1:12" x14ac:dyDescent="0.3">
      <c r="A4">
        <v>1003</v>
      </c>
      <c r="B4" s="3">
        <v>46030</v>
      </c>
      <c r="C4" s="4" t="s">
        <v>16</v>
      </c>
      <c r="D4" s="4" t="s">
        <v>9</v>
      </c>
      <c r="E4" s="4" t="s">
        <v>17</v>
      </c>
      <c r="F4">
        <v>1</v>
      </c>
      <c r="G4">
        <v>3200</v>
      </c>
      <c r="H4" s="4" t="s">
        <v>11</v>
      </c>
      <c r="I4">
        <v>3200</v>
      </c>
      <c r="J4" s="4" t="s">
        <v>28</v>
      </c>
      <c r="K4">
        <v>1</v>
      </c>
      <c r="L4" t="s">
        <v>41</v>
      </c>
    </row>
    <row r="5" spans="1:12" x14ac:dyDescent="0.3">
      <c r="A5">
        <v>1004</v>
      </c>
      <c r="B5" s="3">
        <v>46034</v>
      </c>
      <c r="C5" s="4" t="s">
        <v>8</v>
      </c>
      <c r="D5" s="4" t="s">
        <v>18</v>
      </c>
      <c r="E5" s="4" t="s">
        <v>19</v>
      </c>
      <c r="F5">
        <v>2</v>
      </c>
      <c r="G5">
        <v>2100</v>
      </c>
      <c r="H5" s="4" t="s">
        <v>15</v>
      </c>
      <c r="I5">
        <v>4200</v>
      </c>
      <c r="J5" s="4" t="s">
        <v>28</v>
      </c>
      <c r="K5">
        <v>1</v>
      </c>
      <c r="L5" t="s">
        <v>41</v>
      </c>
    </row>
    <row r="6" spans="1:12" x14ac:dyDescent="0.3">
      <c r="A6">
        <v>1005</v>
      </c>
      <c r="B6" s="3">
        <v>46037</v>
      </c>
      <c r="C6" s="4" t="s">
        <v>12</v>
      </c>
      <c r="D6" s="4" t="s">
        <v>9</v>
      </c>
      <c r="E6" s="4" t="s">
        <v>20</v>
      </c>
      <c r="F6">
        <v>1</v>
      </c>
      <c r="G6">
        <v>5500</v>
      </c>
      <c r="H6" s="4" t="s">
        <v>11</v>
      </c>
      <c r="I6">
        <v>5500</v>
      </c>
      <c r="J6" s="4" t="s">
        <v>28</v>
      </c>
      <c r="K6">
        <v>1</v>
      </c>
      <c r="L6" t="s">
        <v>41</v>
      </c>
    </row>
    <row r="7" spans="1:12" x14ac:dyDescent="0.3">
      <c r="A7">
        <v>1006</v>
      </c>
      <c r="B7" s="3">
        <v>46040</v>
      </c>
      <c r="C7" s="4" t="s">
        <v>16</v>
      </c>
      <c r="D7" s="4" t="s">
        <v>13</v>
      </c>
      <c r="E7" s="4" t="s">
        <v>21</v>
      </c>
      <c r="F7">
        <v>8</v>
      </c>
      <c r="G7">
        <v>300</v>
      </c>
      <c r="H7" s="4" t="s">
        <v>15</v>
      </c>
      <c r="I7">
        <v>2400</v>
      </c>
      <c r="J7" s="4" t="s">
        <v>28</v>
      </c>
      <c r="K7">
        <v>1</v>
      </c>
      <c r="L7" t="s">
        <v>41</v>
      </c>
    </row>
    <row r="8" spans="1:12" x14ac:dyDescent="0.3">
      <c r="A8">
        <v>1007</v>
      </c>
      <c r="B8" s="3">
        <v>46043</v>
      </c>
      <c r="C8" s="4" t="s">
        <v>8</v>
      </c>
      <c r="D8" s="4" t="s">
        <v>18</v>
      </c>
      <c r="E8" s="4" t="s">
        <v>22</v>
      </c>
      <c r="F8">
        <v>3</v>
      </c>
      <c r="G8">
        <v>900</v>
      </c>
      <c r="H8" s="4" t="s">
        <v>11</v>
      </c>
      <c r="I8">
        <v>2700</v>
      </c>
      <c r="J8" s="4" t="s">
        <v>28</v>
      </c>
      <c r="K8">
        <v>1</v>
      </c>
      <c r="L8" t="s">
        <v>41</v>
      </c>
    </row>
    <row r="9" spans="1:12" x14ac:dyDescent="0.3">
      <c r="A9">
        <v>1008</v>
      </c>
      <c r="B9" s="3">
        <v>46046</v>
      </c>
      <c r="C9" s="4" t="s">
        <v>12</v>
      </c>
      <c r="D9" s="4" t="s">
        <v>9</v>
      </c>
      <c r="E9" s="4" t="s">
        <v>23</v>
      </c>
      <c r="F9">
        <v>6</v>
      </c>
      <c r="G9">
        <v>650</v>
      </c>
      <c r="H9" s="4" t="s">
        <v>11</v>
      </c>
      <c r="I9">
        <v>3900</v>
      </c>
      <c r="J9" s="4" t="s">
        <v>28</v>
      </c>
      <c r="K9">
        <v>1</v>
      </c>
      <c r="L9" t="s">
        <v>41</v>
      </c>
    </row>
    <row r="10" spans="1:12" x14ac:dyDescent="0.3">
      <c r="A10">
        <v>1009</v>
      </c>
      <c r="B10" s="3">
        <v>46049</v>
      </c>
      <c r="C10" s="4" t="s">
        <v>16</v>
      </c>
      <c r="D10" s="4" t="s">
        <v>18</v>
      </c>
      <c r="E10" s="4" t="s">
        <v>24</v>
      </c>
      <c r="F10">
        <v>4</v>
      </c>
      <c r="G10">
        <v>750</v>
      </c>
      <c r="H10" s="4" t="s">
        <v>15</v>
      </c>
      <c r="I10">
        <v>3000</v>
      </c>
      <c r="J10" s="4" t="s">
        <v>28</v>
      </c>
      <c r="K10">
        <v>1</v>
      </c>
      <c r="L10" t="s">
        <v>41</v>
      </c>
    </row>
    <row r="11" spans="1:12" x14ac:dyDescent="0.3">
      <c r="A11">
        <v>1010</v>
      </c>
      <c r="B11" s="3">
        <v>46052</v>
      </c>
      <c r="C11" s="4" t="s">
        <v>8</v>
      </c>
      <c r="D11" s="4" t="s">
        <v>9</v>
      </c>
      <c r="E11" s="4" t="s">
        <v>25</v>
      </c>
      <c r="F11">
        <v>2</v>
      </c>
      <c r="G11">
        <v>2800</v>
      </c>
      <c r="H11" s="4" t="s">
        <v>11</v>
      </c>
      <c r="I11">
        <v>5600</v>
      </c>
      <c r="J11" s="4" t="s">
        <v>28</v>
      </c>
      <c r="K11">
        <v>1</v>
      </c>
      <c r="L11" t="s">
        <v>41</v>
      </c>
    </row>
    <row r="12" spans="1:12" x14ac:dyDescent="0.3">
      <c r="A12">
        <v>1011</v>
      </c>
      <c r="B12" s="3">
        <v>46055</v>
      </c>
      <c r="C12" s="4" t="s">
        <v>12</v>
      </c>
      <c r="D12" s="4" t="s">
        <v>18</v>
      </c>
      <c r="E12" s="4" t="s">
        <v>19</v>
      </c>
      <c r="F12">
        <v>1</v>
      </c>
      <c r="G12">
        <v>2100</v>
      </c>
      <c r="H12" s="4" t="s">
        <v>15</v>
      </c>
      <c r="I12">
        <v>2100</v>
      </c>
      <c r="J12" s="4" t="s">
        <v>29</v>
      </c>
      <c r="K12">
        <v>2</v>
      </c>
      <c r="L12" t="s">
        <v>42</v>
      </c>
    </row>
    <row r="13" spans="1:12" x14ac:dyDescent="0.3">
      <c r="A13">
        <v>1012</v>
      </c>
      <c r="B13" s="3">
        <v>46058</v>
      </c>
      <c r="C13" s="4" t="s">
        <v>16</v>
      </c>
      <c r="D13" s="4" t="s">
        <v>13</v>
      </c>
      <c r="E13" s="4" t="s">
        <v>14</v>
      </c>
      <c r="F13">
        <v>10</v>
      </c>
      <c r="G13">
        <v>450</v>
      </c>
      <c r="H13" s="4" t="s">
        <v>11</v>
      </c>
      <c r="I13">
        <v>4500</v>
      </c>
      <c r="J13" s="4" t="s">
        <v>29</v>
      </c>
      <c r="K13">
        <v>2</v>
      </c>
      <c r="L13" t="s">
        <v>42</v>
      </c>
    </row>
    <row r="14" spans="1:12" x14ac:dyDescent="0.3">
      <c r="A14">
        <v>1013</v>
      </c>
      <c r="B14" s="3">
        <v>46062</v>
      </c>
      <c r="C14" s="4" t="s">
        <v>8</v>
      </c>
      <c r="D14" s="4" t="s">
        <v>9</v>
      </c>
      <c r="E14" s="4" t="s">
        <v>17</v>
      </c>
      <c r="F14">
        <v>2</v>
      </c>
      <c r="G14">
        <v>3200</v>
      </c>
      <c r="H14" s="4" t="s">
        <v>11</v>
      </c>
      <c r="I14">
        <v>6400</v>
      </c>
      <c r="J14" s="4" t="s">
        <v>29</v>
      </c>
      <c r="K14">
        <v>2</v>
      </c>
      <c r="L14" t="s">
        <v>42</v>
      </c>
    </row>
    <row r="15" spans="1:12" x14ac:dyDescent="0.3">
      <c r="A15">
        <v>1014</v>
      </c>
      <c r="B15" s="3">
        <v>46065</v>
      </c>
      <c r="C15" s="4" t="s">
        <v>12</v>
      </c>
      <c r="D15" s="4" t="s">
        <v>18</v>
      </c>
      <c r="E15" s="4" t="s">
        <v>22</v>
      </c>
      <c r="F15">
        <v>5</v>
      </c>
      <c r="G15">
        <v>900</v>
      </c>
      <c r="H15" s="4" t="s">
        <v>15</v>
      </c>
      <c r="I15">
        <v>4500</v>
      </c>
      <c r="J15" s="4" t="s">
        <v>29</v>
      </c>
      <c r="K15">
        <v>2</v>
      </c>
      <c r="L15" t="s">
        <v>42</v>
      </c>
    </row>
    <row r="16" spans="1:12" x14ac:dyDescent="0.3">
      <c r="A16">
        <v>1015</v>
      </c>
      <c r="B16" s="3">
        <v>46069</v>
      </c>
      <c r="C16" s="4" t="s">
        <v>16</v>
      </c>
      <c r="D16" s="4" t="s">
        <v>9</v>
      </c>
      <c r="E16" s="4" t="s">
        <v>10</v>
      </c>
      <c r="F16">
        <v>3</v>
      </c>
      <c r="G16">
        <v>1800</v>
      </c>
      <c r="H16" s="4" t="s">
        <v>11</v>
      </c>
      <c r="I16">
        <v>5400</v>
      </c>
      <c r="J16" s="4" t="s">
        <v>29</v>
      </c>
      <c r="K16">
        <v>2</v>
      </c>
      <c r="L16" t="s">
        <v>42</v>
      </c>
    </row>
    <row r="17" spans="1:12" x14ac:dyDescent="0.3">
      <c r="A17">
        <v>1016</v>
      </c>
      <c r="B17" s="3">
        <v>46073</v>
      </c>
      <c r="C17" s="4" t="s">
        <v>8</v>
      </c>
      <c r="D17" s="4" t="s">
        <v>13</v>
      </c>
      <c r="E17" s="4" t="s">
        <v>21</v>
      </c>
      <c r="F17">
        <v>12</v>
      </c>
      <c r="G17">
        <v>300</v>
      </c>
      <c r="H17" s="4" t="s">
        <v>15</v>
      </c>
      <c r="I17">
        <v>3600</v>
      </c>
      <c r="J17" s="4" t="s">
        <v>29</v>
      </c>
      <c r="K17">
        <v>2</v>
      </c>
      <c r="L17" t="s">
        <v>42</v>
      </c>
    </row>
    <row r="18" spans="1:12" x14ac:dyDescent="0.3">
      <c r="A18">
        <v>1017</v>
      </c>
      <c r="B18" s="3">
        <v>46076</v>
      </c>
      <c r="C18" s="4" t="s">
        <v>12</v>
      </c>
      <c r="D18" s="4" t="s">
        <v>9</v>
      </c>
      <c r="E18" s="4" t="s">
        <v>20</v>
      </c>
      <c r="F18">
        <v>2</v>
      </c>
      <c r="G18">
        <v>5500</v>
      </c>
      <c r="H18" s="4" t="s">
        <v>11</v>
      </c>
      <c r="I18">
        <v>11000</v>
      </c>
      <c r="J18" s="4" t="s">
        <v>29</v>
      </c>
      <c r="K18">
        <v>2</v>
      </c>
      <c r="L18" t="s">
        <v>42</v>
      </c>
    </row>
    <row r="19" spans="1:12" x14ac:dyDescent="0.3">
      <c r="A19">
        <v>1018</v>
      </c>
      <c r="B19" s="3">
        <v>46079</v>
      </c>
      <c r="C19" s="4" t="s">
        <v>16</v>
      </c>
      <c r="D19" s="4" t="s">
        <v>18</v>
      </c>
      <c r="E19" s="4" t="s">
        <v>24</v>
      </c>
      <c r="F19">
        <v>6</v>
      </c>
      <c r="G19">
        <v>750</v>
      </c>
      <c r="H19" s="4" t="s">
        <v>15</v>
      </c>
      <c r="I19">
        <v>4500</v>
      </c>
      <c r="J19" s="4" t="s">
        <v>29</v>
      </c>
      <c r="K19">
        <v>2</v>
      </c>
      <c r="L19" t="s">
        <v>42</v>
      </c>
    </row>
    <row r="20" spans="1:12" x14ac:dyDescent="0.3">
      <c r="A20">
        <v>1019</v>
      </c>
      <c r="B20" s="3">
        <v>46083</v>
      </c>
      <c r="C20" s="4" t="s">
        <v>8</v>
      </c>
      <c r="D20" s="4" t="s">
        <v>9</v>
      </c>
      <c r="E20" s="4" t="s">
        <v>23</v>
      </c>
      <c r="F20">
        <v>10</v>
      </c>
      <c r="G20">
        <v>650</v>
      </c>
      <c r="H20" s="4" t="s">
        <v>11</v>
      </c>
      <c r="I20">
        <v>6500</v>
      </c>
      <c r="J20" s="4" t="s">
        <v>30</v>
      </c>
      <c r="K20">
        <v>3</v>
      </c>
      <c r="L20" t="s">
        <v>43</v>
      </c>
    </row>
    <row r="21" spans="1:12" x14ac:dyDescent="0.3">
      <c r="A21">
        <v>1020</v>
      </c>
      <c r="B21" s="3">
        <v>46086</v>
      </c>
      <c r="C21" s="4" t="s">
        <v>12</v>
      </c>
      <c r="D21" s="4" t="s">
        <v>18</v>
      </c>
      <c r="E21" s="4" t="s">
        <v>19</v>
      </c>
      <c r="F21">
        <v>3</v>
      </c>
      <c r="G21">
        <v>2100</v>
      </c>
      <c r="H21" s="4" t="s">
        <v>15</v>
      </c>
      <c r="I21">
        <v>6300</v>
      </c>
      <c r="J21" s="4" t="s">
        <v>30</v>
      </c>
      <c r="K21">
        <v>3</v>
      </c>
      <c r="L21" t="s">
        <v>43</v>
      </c>
    </row>
    <row r="22" spans="1:12" x14ac:dyDescent="0.3">
      <c r="A22">
        <v>1021</v>
      </c>
      <c r="B22" s="3">
        <v>46090</v>
      </c>
      <c r="C22" s="4" t="s">
        <v>16</v>
      </c>
      <c r="D22" s="4" t="s">
        <v>9</v>
      </c>
      <c r="E22" s="4" t="s">
        <v>25</v>
      </c>
      <c r="F22">
        <v>4</v>
      </c>
      <c r="G22">
        <v>2800</v>
      </c>
      <c r="H22" s="4" t="s">
        <v>11</v>
      </c>
      <c r="I22">
        <v>11200</v>
      </c>
      <c r="J22" s="4" t="s">
        <v>30</v>
      </c>
      <c r="K22">
        <v>3</v>
      </c>
      <c r="L22" t="s">
        <v>43</v>
      </c>
    </row>
    <row r="23" spans="1:12" x14ac:dyDescent="0.3">
      <c r="A23">
        <v>1022</v>
      </c>
      <c r="B23" s="3">
        <v>46094</v>
      </c>
      <c r="C23" s="4" t="s">
        <v>8</v>
      </c>
      <c r="D23" s="4" t="s">
        <v>13</v>
      </c>
      <c r="E23" s="4" t="s">
        <v>14</v>
      </c>
      <c r="F23">
        <v>7</v>
      </c>
      <c r="G23">
        <v>450</v>
      </c>
      <c r="H23" s="4" t="s">
        <v>15</v>
      </c>
      <c r="I23">
        <v>3150</v>
      </c>
      <c r="J23" s="4" t="s">
        <v>30</v>
      </c>
      <c r="K23">
        <v>3</v>
      </c>
      <c r="L23" t="s">
        <v>43</v>
      </c>
    </row>
    <row r="24" spans="1:12" x14ac:dyDescent="0.3">
      <c r="A24">
        <v>1023</v>
      </c>
      <c r="B24" s="3">
        <v>46098</v>
      </c>
      <c r="C24" s="4" t="s">
        <v>12</v>
      </c>
      <c r="D24" s="4" t="s">
        <v>9</v>
      </c>
      <c r="E24" s="4" t="s">
        <v>17</v>
      </c>
      <c r="F24">
        <v>1</v>
      </c>
      <c r="G24">
        <v>3200</v>
      </c>
      <c r="H24" s="4" t="s">
        <v>11</v>
      </c>
      <c r="I24">
        <v>3200</v>
      </c>
      <c r="J24" s="4" t="s">
        <v>30</v>
      </c>
      <c r="K24">
        <v>3</v>
      </c>
      <c r="L24" t="s">
        <v>43</v>
      </c>
    </row>
    <row r="25" spans="1:12" x14ac:dyDescent="0.3">
      <c r="A25">
        <v>1024</v>
      </c>
      <c r="B25" s="3">
        <v>46102</v>
      </c>
      <c r="C25" s="4" t="s">
        <v>16</v>
      </c>
      <c r="D25" s="4" t="s">
        <v>18</v>
      </c>
      <c r="E25" s="4" t="s">
        <v>22</v>
      </c>
      <c r="F25">
        <v>8</v>
      </c>
      <c r="G25">
        <v>900</v>
      </c>
      <c r="H25" s="4" t="s">
        <v>15</v>
      </c>
      <c r="I25">
        <v>7200</v>
      </c>
      <c r="J25" s="4" t="s">
        <v>30</v>
      </c>
      <c r="K25">
        <v>3</v>
      </c>
      <c r="L25" t="s">
        <v>43</v>
      </c>
    </row>
    <row r="26" spans="1:12" x14ac:dyDescent="0.3">
      <c r="A26">
        <v>1025</v>
      </c>
      <c r="B26" s="3">
        <v>46106</v>
      </c>
      <c r="C26" s="4" t="s">
        <v>8</v>
      </c>
      <c r="D26" s="4" t="s">
        <v>9</v>
      </c>
      <c r="E26" s="4" t="s">
        <v>20</v>
      </c>
      <c r="F26">
        <v>1</v>
      </c>
      <c r="G26">
        <v>5500</v>
      </c>
      <c r="H26" s="4" t="s">
        <v>11</v>
      </c>
      <c r="I26">
        <v>5500</v>
      </c>
      <c r="J26" s="4" t="s">
        <v>30</v>
      </c>
      <c r="K26">
        <v>3</v>
      </c>
      <c r="L26" t="s">
        <v>43</v>
      </c>
    </row>
    <row r="27" spans="1:12" x14ac:dyDescent="0.3">
      <c r="A27">
        <v>1026</v>
      </c>
      <c r="B27" s="3">
        <v>46110</v>
      </c>
      <c r="C27" s="4" t="s">
        <v>12</v>
      </c>
      <c r="D27" s="4" t="s">
        <v>13</v>
      </c>
      <c r="E27" s="4" t="s">
        <v>21</v>
      </c>
      <c r="F27">
        <v>15</v>
      </c>
      <c r="G27">
        <v>300</v>
      </c>
      <c r="H27" s="4" t="s">
        <v>15</v>
      </c>
      <c r="I27">
        <v>4500</v>
      </c>
      <c r="J27" s="4" t="s">
        <v>30</v>
      </c>
      <c r="K27">
        <v>3</v>
      </c>
      <c r="L27" t="s">
        <v>43</v>
      </c>
    </row>
    <row r="28" spans="1:12" x14ac:dyDescent="0.3">
      <c r="A28">
        <v>1027</v>
      </c>
      <c r="B28" s="3">
        <v>46114</v>
      </c>
      <c r="C28" s="4" t="s">
        <v>16</v>
      </c>
      <c r="D28" s="4" t="s">
        <v>9</v>
      </c>
      <c r="E28" s="4" t="s">
        <v>10</v>
      </c>
      <c r="F28">
        <v>5</v>
      </c>
      <c r="G28">
        <v>1800</v>
      </c>
      <c r="H28" s="4" t="s">
        <v>11</v>
      </c>
      <c r="I28">
        <v>9000</v>
      </c>
      <c r="J28" s="4" t="s">
        <v>31</v>
      </c>
      <c r="K28">
        <v>4</v>
      </c>
      <c r="L28" t="s">
        <v>44</v>
      </c>
    </row>
    <row r="29" spans="1:12" x14ac:dyDescent="0.3">
      <c r="A29">
        <v>1028</v>
      </c>
      <c r="B29" s="3">
        <v>46118</v>
      </c>
      <c r="C29" s="4" t="s">
        <v>8</v>
      </c>
      <c r="D29" s="4" t="s">
        <v>18</v>
      </c>
      <c r="E29" s="4" t="s">
        <v>24</v>
      </c>
      <c r="F29">
        <v>3</v>
      </c>
      <c r="G29">
        <v>750</v>
      </c>
      <c r="H29" s="4" t="s">
        <v>15</v>
      </c>
      <c r="I29">
        <v>2250</v>
      </c>
      <c r="J29" s="4" t="s">
        <v>31</v>
      </c>
      <c r="K29">
        <v>4</v>
      </c>
      <c r="L29" t="s">
        <v>44</v>
      </c>
    </row>
    <row r="30" spans="1:12" x14ac:dyDescent="0.3">
      <c r="A30">
        <v>1029</v>
      </c>
      <c r="B30" s="3">
        <v>46122</v>
      </c>
      <c r="C30" s="4" t="s">
        <v>12</v>
      </c>
      <c r="D30" s="4" t="s">
        <v>9</v>
      </c>
      <c r="E30" s="4" t="s">
        <v>23</v>
      </c>
      <c r="F30">
        <v>8</v>
      </c>
      <c r="G30">
        <v>650</v>
      </c>
      <c r="H30" s="4" t="s">
        <v>11</v>
      </c>
      <c r="I30">
        <v>5200</v>
      </c>
      <c r="J30" s="4" t="s">
        <v>31</v>
      </c>
      <c r="K30">
        <v>4</v>
      </c>
      <c r="L30" t="s">
        <v>44</v>
      </c>
    </row>
    <row r="31" spans="1:12" x14ac:dyDescent="0.3">
      <c r="A31">
        <v>1030</v>
      </c>
      <c r="B31" s="3">
        <v>46126</v>
      </c>
      <c r="C31" s="4" t="s">
        <v>16</v>
      </c>
      <c r="D31" s="4" t="s">
        <v>18</v>
      </c>
      <c r="E31" s="4" t="s">
        <v>19</v>
      </c>
      <c r="F31">
        <v>2</v>
      </c>
      <c r="G31">
        <v>2100</v>
      </c>
      <c r="H31" s="4" t="s">
        <v>15</v>
      </c>
      <c r="I31">
        <v>4200</v>
      </c>
      <c r="J31" s="4" t="s">
        <v>31</v>
      </c>
      <c r="K31">
        <v>4</v>
      </c>
      <c r="L31" t="s">
        <v>44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4095-A683-43D8-BCE7-37EF5F10ACF6}">
  <dimension ref="A1:H32"/>
  <sheetViews>
    <sheetView workbookViewId="0">
      <selection activeCell="N3" sqref="N3"/>
    </sheetView>
  </sheetViews>
  <sheetFormatPr defaultRowHeight="14.4" x14ac:dyDescent="0.3"/>
  <cols>
    <col min="1" max="1" width="12.5546875" bestFit="1" customWidth="1"/>
    <col min="2" max="2" width="15.6640625" bestFit="1" customWidth="1"/>
    <col min="4" max="4" width="15.5546875" bestFit="1" customWidth="1"/>
    <col min="5" max="5" width="12.5546875" bestFit="1" customWidth="1"/>
    <col min="6" max="6" width="14.88671875" bestFit="1" customWidth="1"/>
    <col min="7" max="7" width="29" bestFit="1" customWidth="1"/>
    <col min="8" max="8" width="15.6640625" bestFit="1" customWidth="1"/>
    <col min="9" max="9" width="11.5546875" bestFit="1" customWidth="1"/>
    <col min="10" max="10" width="11" bestFit="1" customWidth="1"/>
    <col min="11" max="11" width="9.5546875" bestFit="1" customWidth="1"/>
    <col min="12" max="12" width="14.21875" bestFit="1" customWidth="1"/>
    <col min="13" max="13" width="10.77734375" bestFit="1" customWidth="1"/>
  </cols>
  <sheetData>
    <row r="1" spans="1:8" x14ac:dyDescent="0.3">
      <c r="A1" s="5" t="s">
        <v>32</v>
      </c>
      <c r="B1" t="s">
        <v>34</v>
      </c>
    </row>
    <row r="2" spans="1:8" x14ac:dyDescent="0.3">
      <c r="A2" s="6" t="s">
        <v>9</v>
      </c>
      <c r="B2" s="7">
        <v>650</v>
      </c>
    </row>
    <row r="3" spans="1:8" x14ac:dyDescent="0.3">
      <c r="A3" s="6" t="s">
        <v>33</v>
      </c>
      <c r="B3" s="7">
        <v>650</v>
      </c>
    </row>
    <row r="4" spans="1:8" x14ac:dyDescent="0.3">
      <c r="D4" t="s">
        <v>36</v>
      </c>
    </row>
    <row r="5" spans="1:8" x14ac:dyDescent="0.3">
      <c r="D5" s="4">
        <v>142</v>
      </c>
      <c r="G5" t="s">
        <v>37</v>
      </c>
    </row>
    <row r="6" spans="1:8" x14ac:dyDescent="0.3">
      <c r="G6" s="7">
        <v>146550</v>
      </c>
    </row>
    <row r="8" spans="1:8" x14ac:dyDescent="0.3">
      <c r="A8" s="5" t="s">
        <v>32</v>
      </c>
      <c r="B8" t="s">
        <v>35</v>
      </c>
      <c r="D8" t="s">
        <v>38</v>
      </c>
    </row>
    <row r="9" spans="1:8" x14ac:dyDescent="0.3">
      <c r="A9" s="6" t="s">
        <v>8</v>
      </c>
      <c r="B9" s="7">
        <v>6500</v>
      </c>
      <c r="D9" s="4">
        <v>30</v>
      </c>
      <c r="G9" s="5" t="s">
        <v>32</v>
      </c>
      <c r="H9" t="s">
        <v>35</v>
      </c>
    </row>
    <row r="10" spans="1:8" x14ac:dyDescent="0.3">
      <c r="A10" s="6" t="s">
        <v>33</v>
      </c>
      <c r="B10" s="7">
        <v>6500</v>
      </c>
      <c r="G10" s="6" t="s">
        <v>20</v>
      </c>
      <c r="H10" s="7">
        <v>22000</v>
      </c>
    </row>
    <row r="11" spans="1:8" x14ac:dyDescent="0.3">
      <c r="G11" s="6" t="s">
        <v>10</v>
      </c>
      <c r="H11" s="7">
        <v>18000</v>
      </c>
    </row>
    <row r="12" spans="1:8" x14ac:dyDescent="0.3">
      <c r="G12" s="6" t="s">
        <v>19</v>
      </c>
      <c r="H12" s="7">
        <v>16800</v>
      </c>
    </row>
    <row r="13" spans="1:8" x14ac:dyDescent="0.3">
      <c r="D13" t="s">
        <v>45</v>
      </c>
      <c r="G13" s="6" t="s">
        <v>25</v>
      </c>
      <c r="H13" s="7">
        <v>16800</v>
      </c>
    </row>
    <row r="14" spans="1:8" x14ac:dyDescent="0.3">
      <c r="D14">
        <f>COUNT(Sales[Order_ID])</f>
        <v>30</v>
      </c>
      <c r="G14" s="6" t="s">
        <v>23</v>
      </c>
      <c r="H14" s="7">
        <v>15600</v>
      </c>
    </row>
    <row r="15" spans="1:8" x14ac:dyDescent="0.3">
      <c r="A15" s="5" t="s">
        <v>32</v>
      </c>
      <c r="B15" t="s">
        <v>35</v>
      </c>
      <c r="G15" s="6" t="s">
        <v>33</v>
      </c>
      <c r="H15" s="7">
        <v>89200</v>
      </c>
    </row>
    <row r="16" spans="1:8" x14ac:dyDescent="0.3">
      <c r="A16" s="6" t="s">
        <v>23</v>
      </c>
      <c r="B16" s="7">
        <v>6500</v>
      </c>
    </row>
    <row r="17" spans="1:6" x14ac:dyDescent="0.3">
      <c r="A17" s="6" t="s">
        <v>33</v>
      </c>
      <c r="B17" s="7">
        <v>6500</v>
      </c>
    </row>
    <row r="22" spans="1:6" x14ac:dyDescent="0.3">
      <c r="E22" s="5" t="s">
        <v>32</v>
      </c>
      <c r="F22" t="s">
        <v>36</v>
      </c>
    </row>
    <row r="23" spans="1:6" x14ac:dyDescent="0.3">
      <c r="A23" s="5" t="s">
        <v>32</v>
      </c>
      <c r="B23" t="s">
        <v>35</v>
      </c>
      <c r="E23" s="6" t="s">
        <v>23</v>
      </c>
      <c r="F23" s="4">
        <v>10</v>
      </c>
    </row>
    <row r="24" spans="1:6" x14ac:dyDescent="0.3">
      <c r="A24" s="6" t="s">
        <v>30</v>
      </c>
      <c r="B24" s="7">
        <v>6500</v>
      </c>
      <c r="E24" s="6" t="s">
        <v>33</v>
      </c>
      <c r="F24" s="4">
        <v>10</v>
      </c>
    </row>
    <row r="25" spans="1:6" x14ac:dyDescent="0.3">
      <c r="A25" s="6" t="s">
        <v>33</v>
      </c>
      <c r="B25" s="7">
        <v>6500</v>
      </c>
    </row>
    <row r="30" spans="1:6" x14ac:dyDescent="0.3">
      <c r="A30" s="5" t="s">
        <v>32</v>
      </c>
      <c r="B30" t="s">
        <v>35</v>
      </c>
    </row>
    <row r="31" spans="1:6" x14ac:dyDescent="0.3">
      <c r="A31" s="6" t="s">
        <v>11</v>
      </c>
      <c r="B31" s="7">
        <v>6500</v>
      </c>
    </row>
    <row r="32" spans="1:6" x14ac:dyDescent="0.3">
      <c r="A32" s="6" t="s">
        <v>33</v>
      </c>
      <c r="B32" s="7">
        <v>6500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0FE4-D6B9-41DB-9B07-FD848DD13A6A}">
  <dimension ref="A1"/>
  <sheetViews>
    <sheetView showGridLines="0" topLeftCell="A2" workbookViewId="0">
      <selection activeCell="W28" sqref="W28"/>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BAFF328-BFB0-4FD8-817F-4974D3E6986D}">
  <ds:schemaRefs/>
</ds:datastoreItem>
</file>

<file path=customXml/itemProps2.xml><?xml version="1.0" encoding="utf-8"?>
<ds:datastoreItem xmlns:ds="http://schemas.openxmlformats.org/officeDocument/2006/customXml" ds:itemID="{0A869F97-2777-4708-BB32-393EB40FA62F}">
  <ds:schemaRefs/>
</ds:datastoreItem>
</file>

<file path=customXml/itemProps3.xml><?xml version="1.0" encoding="utf-8"?>
<ds:datastoreItem xmlns:ds="http://schemas.openxmlformats.org/officeDocument/2006/customXml" ds:itemID="{3801763A-F420-4BA9-B367-75D61A7D8E78}">
  <ds:schemaRefs/>
</ds:datastoreItem>
</file>

<file path=customXml/itemProps4.xml><?xml version="1.0" encoding="utf-8"?>
<ds:datastoreItem xmlns:ds="http://schemas.openxmlformats.org/officeDocument/2006/customXml" ds:itemID="{55073EF7-5386-4FFA-886F-1173F5502E6D}">
  <ds:schemaRefs/>
</ds:datastoreItem>
</file>

<file path=customXml/itemProps5.xml><?xml version="1.0" encoding="utf-8"?>
<ds:datastoreItem xmlns:ds="http://schemas.openxmlformats.org/officeDocument/2006/customXml" ds:itemID="{2402009C-3F54-439B-B530-C70082D3AF9C}">
  <ds:schemaRefs/>
</ds:datastoreItem>
</file>

<file path=customXml/itemProps6.xml><?xml version="1.0" encoding="utf-8"?>
<ds:datastoreItem xmlns:ds="http://schemas.openxmlformats.org/officeDocument/2006/customXml" ds:itemID="{65E23E00-4718-43F3-BB2A-DAEA181D993A}">
  <ds:schemaRefs/>
</ds:datastoreItem>
</file>

<file path=customXml/itemProps7.xml><?xml version="1.0" encoding="utf-8"?>
<ds:datastoreItem xmlns:ds="http://schemas.openxmlformats.org/officeDocument/2006/customXml" ds:itemID="{2C650E3B-F8F8-4AF7-8A63-EE21397F931F}">
  <ds:schemaRefs/>
</ds:datastoreItem>
</file>

<file path=customXml/itemProps8.xml><?xml version="1.0" encoding="utf-8"?>
<ds:datastoreItem xmlns:ds="http://schemas.openxmlformats.org/officeDocument/2006/customXml" ds:itemID="{57C660DA-4E5D-448B-8B23-843BE4AEB3A7}">
  <ds:schemaRefs/>
</ds:datastoreItem>
</file>

<file path=customXml/itemProps9.xml><?xml version="1.0" encoding="utf-8"?>
<ds:datastoreItem xmlns:ds="http://schemas.openxmlformats.org/officeDocument/2006/customXml" ds:itemID="{1112FE5F-8D3C-408C-BF10-BE738047CDB1}">
  <ds:schemaRefs/>
</ds:datastoreItem>
</file>

<file path=customXml/itemProps10.xml><?xml version="1.0" encoding="utf-8"?>
<ds:datastoreItem xmlns:ds="http://schemas.openxmlformats.org/officeDocument/2006/customXml" ds:itemID="{08046181-A468-4949-AC07-E6EC25894229}">
  <ds:schemaRefs/>
</ds:datastoreItem>
</file>

<file path=customXml/itemProps11.xml><?xml version="1.0" encoding="utf-8"?>
<ds:datastoreItem xmlns:ds="http://schemas.openxmlformats.org/officeDocument/2006/customXml" ds:itemID="{1CAADF0B-ACC9-47D2-9EBF-BAEF9A06A993}">
  <ds:schemaRefs/>
</ds:datastoreItem>
</file>

<file path=customXml/itemProps12.xml><?xml version="1.0" encoding="utf-8"?>
<ds:datastoreItem xmlns:ds="http://schemas.openxmlformats.org/officeDocument/2006/customXml" ds:itemID="{02706A9F-7947-4719-868B-0789202FCFB3}">
  <ds:schemaRefs/>
</ds:datastoreItem>
</file>

<file path=customXml/itemProps13.xml><?xml version="1.0" encoding="utf-8"?>
<ds:datastoreItem xmlns:ds="http://schemas.openxmlformats.org/officeDocument/2006/customXml" ds:itemID="{E166D92F-56C7-4D0A-9B56-0F05378DAE47}">
  <ds:schemaRefs/>
</ds:datastoreItem>
</file>

<file path=customXml/itemProps14.xml><?xml version="1.0" encoding="utf-8"?>
<ds:datastoreItem xmlns:ds="http://schemas.openxmlformats.org/officeDocument/2006/customXml" ds:itemID="{A38419A4-5771-4792-AA8C-777B10C0CCE8}">
  <ds:schemaRefs>
    <ds:schemaRef ds:uri="http://schemas.microsoft.com/DataMashup"/>
  </ds:schemaRefs>
</ds:datastoreItem>
</file>

<file path=customXml/itemProps15.xml><?xml version="1.0" encoding="utf-8"?>
<ds:datastoreItem xmlns:ds="http://schemas.openxmlformats.org/officeDocument/2006/customXml" ds:itemID="{0F13677D-82EF-4949-A197-72E21DB8CBD3}">
  <ds:schemaRefs/>
</ds:datastoreItem>
</file>

<file path=customXml/itemProps16.xml><?xml version="1.0" encoding="utf-8"?>
<ds:datastoreItem xmlns:ds="http://schemas.openxmlformats.org/officeDocument/2006/customXml" ds:itemID="{C0773258-E5FC-47D6-A7CE-84FF7FFB8076}">
  <ds:schemaRefs/>
</ds:datastoreItem>
</file>

<file path=customXml/itemProps17.xml><?xml version="1.0" encoding="utf-8"?>
<ds:datastoreItem xmlns:ds="http://schemas.openxmlformats.org/officeDocument/2006/customXml" ds:itemID="{3F92B612-A17A-45FA-82C7-D96DC96892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Raw_Data</vt:lpstr>
      <vt:lpstr>Sales</vt:lpstr>
      <vt:lpstr>Analysis</vt:lpstr>
      <vt:lpstr>Dashboard</vt:lpstr>
      <vt:lpstr>Category</vt:lpstr>
      <vt:lpstr>City</vt:lpstr>
      <vt:lpstr>months</vt:lpstr>
      <vt:lpstr>products</vt:lpstr>
      <vt:lpstr>stores</vt:lpstr>
      <vt:lpstr>table_category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Umaima Khan</cp:lastModifiedBy>
  <dcterms:created xsi:type="dcterms:W3CDTF">2026-10-06T11:26:22Z</dcterms:created>
  <dcterms:modified xsi:type="dcterms:W3CDTF">2026-10-07T12:30:53Z</dcterms:modified>
</cp:coreProperties>
</file>